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luoxin/Nutstore Files/重庆珏盛智能科技有限公司/产品及项目/VOSS/AI报价/工艺/"/>
    </mc:Choice>
  </mc:AlternateContent>
  <xr:revisionPtr revIDLastSave="0" documentId="13_ncr:1_{0CCB3B60-1576-7A4D-AB03-A2AF72171581}" xr6:coauthVersionLast="47" xr6:coauthVersionMax="47" xr10:uidLastSave="{00000000-0000-0000-0000-000000000000}"/>
  <bookViews>
    <workbookView xWindow="0" yWindow="660" windowWidth="30240" windowHeight="17340" activeTab="1" xr2:uid="{00000000-000D-0000-FFFF-FFFF00000000}"/>
  </bookViews>
  <sheets>
    <sheet name="TM&amp;ICE&amp;BESS" sheetId="1" r:id="rId1"/>
    <sheet name="空悬ASUS" sheetId="2" r:id="rId2"/>
    <sheet name="SCR 2" sheetId="3" r:id="rId3"/>
    <sheet name="SCR 3" sheetId="4" r:id="rId4"/>
    <sheet name="SCR EPDM" sheetId="5" r:id="rId5"/>
    <sheet name="主悬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G16" i="1"/>
  <c r="G26" i="1"/>
  <c r="G25" i="1"/>
  <c r="G24" i="1"/>
  <c r="G23" i="1"/>
  <c r="G36" i="1"/>
  <c r="G35" i="1"/>
  <c r="G34" i="1"/>
  <c r="G33" i="1"/>
  <c r="H12" i="1" l="1"/>
  <c r="G15" i="1"/>
  <c r="G17" i="1"/>
  <c r="H75" i="1" l="1"/>
  <c r="H74" i="1"/>
  <c r="N73" i="1"/>
  <c r="M73" i="1"/>
  <c r="H73" i="1"/>
  <c r="H72" i="1"/>
  <c r="G70" i="1"/>
  <c r="G69" i="1"/>
  <c r="G68" i="1"/>
  <c r="G67" i="1"/>
  <c r="G66" i="1"/>
  <c r="G63" i="1"/>
  <c r="G62" i="1"/>
  <c r="G61" i="1"/>
  <c r="G60" i="1"/>
  <c r="G59" i="1"/>
  <c r="H56" i="1"/>
  <c r="G55" i="1"/>
  <c r="H54" i="1"/>
  <c r="G50" i="1"/>
  <c r="G48" i="1"/>
  <c r="G47" i="1"/>
  <c r="G46" i="1"/>
  <c r="G45" i="1"/>
  <c r="G44" i="1"/>
  <c r="G43" i="1"/>
  <c r="G42" i="1"/>
  <c r="G41" i="1"/>
  <c r="G40" i="1"/>
  <c r="G39" i="1"/>
  <c r="G38" i="1"/>
  <c r="G31" i="1"/>
  <c r="G30" i="1"/>
  <c r="G29" i="1"/>
  <c r="G28" i="1"/>
  <c r="G21" i="1"/>
  <c r="G20" i="1"/>
  <c r="G19" i="1"/>
  <c r="G12" i="1"/>
  <c r="G13" i="1" s="1"/>
  <c r="H9" i="1"/>
  <c r="H8" i="1"/>
  <c r="H7" i="1"/>
  <c r="H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Han, Jie</author>
  </authors>
  <commentList>
    <comment ref="G14" authorId="0" shapeId="0" xr:uid="{649418BC-ED36-4138-88BA-39A87941E248}">
      <text>
        <r>
          <rPr>
            <b/>
            <sz val="9"/>
            <color indexed="81"/>
            <rFont val="宋体"/>
            <family val="3"/>
            <charset val="134"/>
          </rPr>
          <t>Han, Jie:</t>
        </r>
        <r>
          <rPr>
            <sz val="9"/>
            <color indexed="81"/>
            <rFont val="宋体"/>
            <family val="3"/>
            <charset val="134"/>
          </rPr>
          <t xml:space="preserve">
组装单个压装点的工时
</t>
        </r>
      </text>
    </comment>
    <comment ref="G18" authorId="0" shapeId="0" xr:uid="{388F330C-E4BC-4FBE-832B-A90654FC5878}">
      <text>
        <r>
          <rPr>
            <b/>
            <sz val="9"/>
            <color indexed="81"/>
            <rFont val="宋体"/>
            <family val="3"/>
            <charset val="134"/>
          </rPr>
          <t>Han, Jie:</t>
        </r>
        <r>
          <rPr>
            <sz val="9"/>
            <color indexed="81"/>
            <rFont val="宋体"/>
            <family val="3"/>
            <charset val="134"/>
          </rPr>
          <t xml:space="preserve">
组装单个压装点的工时
</t>
        </r>
      </text>
    </comment>
  </commentList>
</comments>
</file>

<file path=xl/sharedStrings.xml><?xml version="1.0" encoding="utf-8"?>
<sst xmlns="http://schemas.openxmlformats.org/spreadsheetml/2006/main" count="292" uniqueCount="190">
  <si>
    <t>管路/储能 产品标准工时  
Standard working hours for pipeline / energy storage products</t>
  </si>
  <si>
    <t>版本/Version:</t>
  </si>
  <si>
    <t>V00</t>
  </si>
  <si>
    <t>日期/Date：</t>
  </si>
  <si>
    <t>2020.7.01</t>
  </si>
  <si>
    <t>NO.</t>
  </si>
  <si>
    <t>工序/Process</t>
  </si>
  <si>
    <t>工作中心/work center</t>
  </si>
  <si>
    <t>PA Tube</t>
  </si>
  <si>
    <t>01</t>
  </si>
  <si>
    <t>Description</t>
  </si>
  <si>
    <t>Set up time/ h</t>
  </si>
  <si>
    <t>Cycle time min/100pc</t>
  </si>
  <si>
    <t>S/PC</t>
  </si>
  <si>
    <t>0&lt;L&lt;=1m</t>
  </si>
  <si>
    <t>1m&lt;L&lt;=2m</t>
  </si>
  <si>
    <t>2m&lt;L&lt;=3m</t>
  </si>
  <si>
    <t>3m&lt;L&lt;=4m</t>
  </si>
  <si>
    <t>4m&lt;L&lt;=5m</t>
  </si>
  <si>
    <t>02</t>
  </si>
  <si>
    <t>回转炉成型
Rotary furnace forming</t>
  </si>
  <si>
    <t>Remark</t>
  </si>
  <si>
    <t>4min出90pc</t>
  </si>
  <si>
    <t>03-1</t>
  </si>
  <si>
    <r>
      <t>备注:</t>
    </r>
    <r>
      <rPr>
        <sz val="12"/>
        <color theme="1"/>
        <rFont val="等线"/>
        <family val="2"/>
        <scheme val="minor"/>
      </rPr>
      <t>以下配合需要扩孔</t>
    </r>
  </si>
  <si>
    <t>Set up time h</t>
  </si>
  <si>
    <t>备注</t>
  </si>
  <si>
    <t>伺服工时包含扩孔</t>
    <phoneticPr fontId="6" type="noConversion"/>
  </si>
  <si>
    <t>03-2</t>
  </si>
  <si>
    <t>BESS-储能组装</t>
  </si>
  <si>
    <t>基于1个人组装工时
（半成品组装同伺服压装工时）
总成*对应系数</t>
    <phoneticPr fontId="6" type="noConversion"/>
  </si>
  <si>
    <t>整体压装+取件</t>
  </si>
  <si>
    <t>04</t>
  </si>
  <si>
    <t>根据产品具体尺寸及管径可适当调整</t>
  </si>
  <si>
    <t>0&lt;L&lt;=1m 单管</t>
    <phoneticPr fontId="6" type="noConversion"/>
  </si>
  <si>
    <t>储能-水检2人操作（1人负责安装工装启动设备进行观察，1人负责吹干及粘贴标签辅助观察）</t>
    <phoneticPr fontId="6" type="noConversion"/>
  </si>
  <si>
    <t>0&lt;L&lt;=1m 复合管</t>
    <phoneticPr fontId="6" type="noConversion"/>
  </si>
  <si>
    <t>1m&lt;L&lt;=3m复合管</t>
    <phoneticPr fontId="6" type="noConversion"/>
  </si>
  <si>
    <t>带球阀产品（需测试三个角度）</t>
    <phoneticPr fontId="6" type="noConversion"/>
  </si>
  <si>
    <t>1测多-气检</t>
  </si>
  <si>
    <t>1m&lt;L&lt;=2m 单管</t>
  </si>
  <si>
    <t>1m&lt;L&lt;=2m 组合管</t>
  </si>
  <si>
    <t>大管径（S18,NW25）</t>
  </si>
  <si>
    <t>05</t>
  </si>
  <si>
    <t>组装零部件
Assembly  parts</t>
  </si>
  <si>
    <t>图片</t>
  </si>
  <si>
    <t>Tie-1 扎带不带隼端</t>
  </si>
  <si>
    <t>Tie-2 带隼端</t>
  </si>
  <si>
    <t>P-Clamp 金属卡箍</t>
  </si>
  <si>
    <t>Clip 塑料管夹</t>
  </si>
  <si>
    <t>OTK/Ear Clamp 卡箍</t>
  </si>
  <si>
    <t>Protective sleeve 1-500mm 编制护套</t>
  </si>
  <si>
    <t>Protective sleeve 500-1000mm编制护套</t>
  </si>
  <si>
    <t>Alv sleeve 铝箔护套 0-300mm</t>
  </si>
  <si>
    <t>Alv sleeve 铝箔护套 300-600mm</t>
  </si>
  <si>
    <t>组装保温棉+胶带
Assembly cotton insulation and tape</t>
  </si>
  <si>
    <t>胶带 每100m组装工时（螺旋缠绕）</t>
    <phoneticPr fontId="6" type="noConversion"/>
  </si>
  <si>
    <t>06</t>
  </si>
  <si>
    <t>40007
40005</t>
    <phoneticPr fontId="6" type="noConversion"/>
  </si>
  <si>
    <t>label-1</t>
  </si>
  <si>
    <t>常规标签</t>
  </si>
  <si>
    <t>label-2</t>
  </si>
  <si>
    <t>旗标</t>
  </si>
  <si>
    <t>laser print</t>
  </si>
  <si>
    <t>激光打码</t>
  </si>
  <si>
    <t>检具
检测
Checking tube</t>
  </si>
  <si>
    <t>单管 Cycle time</t>
  </si>
  <si>
    <t>0&lt;L&lt;=0.5m</t>
  </si>
  <si>
    <t>0.5m&lt;L&lt;=1m</t>
  </si>
  <si>
    <t xml:space="preserve">组合管Cycle time </t>
  </si>
  <si>
    <t>1-2m</t>
  </si>
  <si>
    <t>2-3m</t>
  </si>
  <si>
    <t>3-4m</t>
  </si>
  <si>
    <t>07</t>
  </si>
  <si>
    <t>包装
Packing</t>
  </si>
  <si>
    <t>装袋+装箱+封盒+箱表</t>
  </si>
  <si>
    <t>螺栓组装工时</t>
    <phoneticPr fontId="6" type="noConversion"/>
  </si>
  <si>
    <t>签字/sign:</t>
  </si>
  <si>
    <t>IE-Tube:</t>
  </si>
  <si>
    <t>IE-SAP:</t>
  </si>
  <si>
    <t>PD:</t>
  </si>
  <si>
    <t>组装标签&amp;激光打码
Assembly label or laser print</t>
    <phoneticPr fontId="2" type="noConversion"/>
  </si>
  <si>
    <t>储能产品</t>
    <phoneticPr fontId="2" type="noConversion"/>
  </si>
  <si>
    <t>组装接头
Manual assembly QC</t>
    <phoneticPr fontId="2" type="noConversion"/>
  </si>
  <si>
    <t>S/PC</t>
    <phoneticPr fontId="2" type="noConversion"/>
  </si>
  <si>
    <t>伺服压接</t>
    <phoneticPr fontId="2" type="noConversion"/>
  </si>
  <si>
    <t>40006-气检</t>
    <phoneticPr fontId="2" type="noConversion"/>
  </si>
  <si>
    <t>Tape 色带/胶带 (80mm-100mm)</t>
    <phoneticPr fontId="2" type="noConversion"/>
  </si>
  <si>
    <t>背胶保温棉直管</t>
    <phoneticPr fontId="6" type="noConversion"/>
  </si>
  <si>
    <t>背胶保温棉成型管</t>
    <phoneticPr fontId="6" type="noConversion"/>
  </si>
  <si>
    <t>3+(L 保温长度)/100)*3</t>
    <phoneticPr fontId="2" type="noConversion"/>
  </si>
  <si>
    <t>3+(L 保温长度)/100)*5</t>
    <phoneticPr fontId="2" type="noConversion"/>
  </si>
  <si>
    <t>切管-光管
Cutting tube</t>
    <phoneticPr fontId="2" type="noConversion"/>
  </si>
  <si>
    <t>切管-波纹管
Cutting tube</t>
    <phoneticPr fontId="2" type="noConversion"/>
  </si>
  <si>
    <t>0&lt;L&lt;=1m</t>
    <phoneticPr fontId="2" type="noConversion"/>
  </si>
  <si>
    <t>Remark</t>
    <phoneticPr fontId="2" type="noConversion"/>
  </si>
  <si>
    <t>工装数量：
年量6000对应1套</t>
    <phoneticPr fontId="2" type="noConversion"/>
  </si>
  <si>
    <t>每个零件放件时间（接头，管子）</t>
    <phoneticPr fontId="2" type="noConversion"/>
  </si>
  <si>
    <t>40033-水检
NW25 规格产品</t>
    <phoneticPr fontId="2" type="noConversion"/>
  </si>
  <si>
    <t>40049-气检</t>
    <phoneticPr fontId="2" type="noConversion"/>
  </si>
  <si>
    <r>
      <t>气密性</t>
    </r>
    <r>
      <rPr>
        <b/>
        <sz val="12"/>
        <color theme="1"/>
        <rFont val="等线"/>
        <family val="3"/>
        <charset val="134"/>
        <scheme val="minor"/>
      </rPr>
      <t>检测
100%</t>
    </r>
    <r>
      <rPr>
        <sz val="12"/>
        <color theme="1"/>
        <rFont val="等线"/>
        <family val="2"/>
        <scheme val="minor"/>
      </rPr>
      <t xml:space="preserve"> Leakage test</t>
    </r>
    <phoneticPr fontId="2" type="noConversion"/>
  </si>
  <si>
    <t>产品</t>
    <phoneticPr fontId="2" type="noConversion"/>
  </si>
  <si>
    <t>TM/BESS/ICE</t>
    <phoneticPr fontId="2" type="noConversion"/>
  </si>
  <si>
    <t>BESS</t>
    <phoneticPr fontId="2" type="noConversion"/>
  </si>
  <si>
    <t>TM/ICE</t>
    <phoneticPr fontId="2" type="noConversion"/>
  </si>
  <si>
    <t>伺服压接  &gt;=NW25 tube</t>
    <phoneticPr fontId="2" type="noConversion"/>
  </si>
  <si>
    <t>扩孔 (主管路)单根-二级管</t>
    <phoneticPr fontId="2" type="noConversion"/>
  </si>
  <si>
    <t>1m&lt;L&lt;=2m 单管</t>
    <phoneticPr fontId="2" type="noConversion"/>
  </si>
  <si>
    <t>大管径（S18,NW25）单管</t>
    <phoneticPr fontId="2" type="noConversion"/>
  </si>
  <si>
    <t>Plug  保护帽/防尘贴/套袋</t>
    <phoneticPr fontId="2" type="noConversion"/>
  </si>
  <si>
    <t>TM/BESS/ICE</t>
    <phoneticPr fontId="6" type="noConversion"/>
  </si>
  <si>
    <t>只考虑检测管子+接头工时，不含其它零件的工时。</t>
    <phoneticPr fontId="2" type="noConversion"/>
  </si>
  <si>
    <t>Set up time /min</t>
    <phoneticPr fontId="2" type="noConversion"/>
  </si>
  <si>
    <t>Description（判定条件）</t>
    <phoneticPr fontId="2" type="noConversion"/>
  </si>
  <si>
    <t>管路成型（蒸汽）</t>
    <phoneticPr fontId="2" type="noConversion"/>
  </si>
  <si>
    <t>检具检查</t>
    <phoneticPr fontId="2" type="noConversion"/>
  </si>
  <si>
    <t>成型组装（安装拆卸）</t>
    <phoneticPr fontId="2" type="noConversion"/>
  </si>
  <si>
    <t>系数（80mm为1pc）*10</t>
    <phoneticPr fontId="2" type="noConversion"/>
  </si>
  <si>
    <t>气密检测</t>
    <phoneticPr fontId="2" type="noConversion"/>
  </si>
  <si>
    <t>40042-济南</t>
    <phoneticPr fontId="2" type="noConversion"/>
  </si>
  <si>
    <t>空气悬挂 产品标准工时  
Standard working hours for ASUS</t>
    <phoneticPr fontId="2" type="noConversion"/>
  </si>
  <si>
    <t>PA管长度</t>
    <phoneticPr fontId="2" type="noConversion"/>
  </si>
  <si>
    <t>切波纹管</t>
    <phoneticPr fontId="2" type="noConversion"/>
  </si>
  <si>
    <t>切PA管</t>
    <phoneticPr fontId="2" type="noConversion"/>
  </si>
  <si>
    <t>PA管长度（PA12 PHLY）</t>
    <phoneticPr fontId="2" type="noConversion"/>
  </si>
  <si>
    <t>波纹管长度（corrugated）</t>
    <phoneticPr fontId="2" type="noConversion"/>
  </si>
  <si>
    <t>护套长度</t>
    <phoneticPr fontId="2" type="noConversion"/>
  </si>
  <si>
    <t>01</t>
    <phoneticPr fontId="2" type="noConversion"/>
  </si>
  <si>
    <t>02</t>
    <phoneticPr fontId="2" type="noConversion"/>
  </si>
  <si>
    <t>03</t>
    <phoneticPr fontId="2" type="noConversion"/>
  </si>
  <si>
    <t>04-1</t>
    <phoneticPr fontId="2" type="noConversion"/>
  </si>
  <si>
    <t>04-2</t>
    <phoneticPr fontId="2" type="noConversion"/>
  </si>
  <si>
    <t>05</t>
    <phoneticPr fontId="2" type="noConversion"/>
  </si>
  <si>
    <t>06</t>
    <phoneticPr fontId="2" type="noConversion"/>
  </si>
  <si>
    <t>打包</t>
    <phoneticPr fontId="2" type="noConversion"/>
  </si>
  <si>
    <t>组装零部件</t>
    <phoneticPr fontId="2" type="noConversion"/>
  </si>
  <si>
    <t>07</t>
    <phoneticPr fontId="2" type="noConversion"/>
  </si>
  <si>
    <t>08</t>
    <phoneticPr fontId="2" type="noConversion"/>
  </si>
  <si>
    <t>09</t>
    <phoneticPr fontId="2" type="noConversion"/>
  </si>
  <si>
    <t>10</t>
    <phoneticPr fontId="2" type="noConversion"/>
  </si>
  <si>
    <t>划线检测，基于BOM备注的划线数量</t>
    <phoneticPr fontId="2" type="noConversion"/>
  </si>
  <si>
    <t>0&lt;L&lt;=0.8m</t>
    <phoneticPr fontId="2" type="noConversion"/>
  </si>
  <si>
    <t>0.8&lt;L&lt;=1.5m</t>
    <phoneticPr fontId="2" type="noConversion"/>
  </si>
  <si>
    <t>PA管长度L＞1.5m</t>
    <phoneticPr fontId="2" type="noConversion"/>
  </si>
  <si>
    <t>（L+70mm）/1000*29</t>
    <phoneticPr fontId="2" type="noConversion"/>
  </si>
  <si>
    <t>L/1000*0.2*60</t>
    <phoneticPr fontId="2" type="noConversion"/>
  </si>
  <si>
    <t>（L+70mm）/1000*0.3*60</t>
    <phoneticPr fontId="2" type="noConversion"/>
  </si>
  <si>
    <t>管路成型（回转炉）</t>
    <phoneticPr fontId="2" type="noConversion"/>
  </si>
  <si>
    <t>组装扎带，tie</t>
    <phoneticPr fontId="2" type="noConversion"/>
  </si>
  <si>
    <t>组装管夹，clip</t>
    <phoneticPr fontId="2" type="noConversion"/>
  </si>
  <si>
    <t>组装标签，label</t>
    <phoneticPr fontId="2" type="noConversion"/>
  </si>
  <si>
    <t>组装保护帽，cap</t>
    <phoneticPr fontId="2" type="noConversion"/>
  </si>
  <si>
    <t>组装inline接头，SV203</t>
    <phoneticPr fontId="2" type="noConversion"/>
  </si>
  <si>
    <t>组装胶塞,grommet</t>
    <phoneticPr fontId="2" type="noConversion"/>
  </si>
  <si>
    <t>缠胶带色带，tape</t>
    <phoneticPr fontId="2" type="noConversion"/>
  </si>
  <si>
    <t>轮廓度检验：
L+70&gt;0
L+70＞=0.5m
L+70＞=1m
L+70＞=2m
L+70＞=3m
L+70＞=4m
L+70＞=5m</t>
    <phoneticPr fontId="2" type="noConversion"/>
  </si>
  <si>
    <t>对应节拍：
7
9
20
28
32
45
60</t>
    <phoneticPr fontId="2" type="noConversion"/>
  </si>
  <si>
    <t>对应节拍：
5
8
（L+70mm）/1000*5</t>
    <phoneticPr fontId="2" type="noConversion"/>
  </si>
  <si>
    <t>系数为BOM体现的划线数量</t>
    <phoneticPr fontId="2" type="noConversion"/>
  </si>
  <si>
    <t>基于BOM对应数量</t>
    <phoneticPr fontId="2" type="noConversion"/>
  </si>
  <si>
    <t>30
32
40
48
55
58</t>
    <phoneticPr fontId="2" type="noConversion"/>
  </si>
  <si>
    <t>L+70&gt;0
L+70＞=1m
L+70＞=2m
L+70＞=3m
L+70＞=4m
L+70＞=5m</t>
    <phoneticPr fontId="2" type="noConversion"/>
  </si>
  <si>
    <t>10
14
19
24
29
34</t>
    <phoneticPr fontId="2" type="noConversion"/>
  </si>
  <si>
    <t>基于客户特殊要求，BOM体现是否100%气密，常规均不做气密检测</t>
    <phoneticPr fontId="2" type="noConversion"/>
  </si>
  <si>
    <t>系数为管子根数</t>
    <phoneticPr fontId="2" type="noConversion"/>
  </si>
  <si>
    <t>基于客户特殊要求，常规为贴标签</t>
    <phoneticPr fontId="2" type="noConversion"/>
  </si>
  <si>
    <t>系数为管子根数，若需要激光打码BOM备注</t>
    <phoneticPr fontId="2" type="noConversion"/>
  </si>
  <si>
    <t>MMR</t>
    <phoneticPr fontId="2" type="noConversion"/>
  </si>
  <si>
    <t>（L+70mm）/1000*0.1*60，最低5s</t>
    <phoneticPr fontId="2" type="noConversion"/>
  </si>
  <si>
    <t>三合一：回切倒角吹气端部检</t>
    <phoneticPr fontId="2" type="noConversion"/>
  </si>
  <si>
    <t>高温成型回转炉
蒸汽成型</t>
    <phoneticPr fontId="2" type="noConversion"/>
  </si>
  <si>
    <t>上下料取放件：
L+70&gt;0
L+70&gt;0.5m
L+70&gt;1.6m</t>
    <phoneticPr fontId="2" type="noConversion"/>
  </si>
  <si>
    <t>80012-常州</t>
    <phoneticPr fontId="2" type="noConversion"/>
  </si>
  <si>
    <t>40018-济南
80021-常州</t>
    <phoneticPr fontId="2" type="noConversion"/>
  </si>
  <si>
    <t>0.78
0.84</t>
    <phoneticPr fontId="2" type="noConversion"/>
  </si>
  <si>
    <t>40023-济南</t>
    <phoneticPr fontId="2" type="noConversion"/>
  </si>
  <si>
    <t>40021-济南
80021-常州</t>
    <phoneticPr fontId="2" type="noConversion"/>
  </si>
  <si>
    <t>0.76
0.84</t>
    <phoneticPr fontId="2" type="noConversion"/>
  </si>
  <si>
    <t>1.97
1.41</t>
    <phoneticPr fontId="2" type="noConversion"/>
  </si>
  <si>
    <t>8.87
9.26</t>
    <phoneticPr fontId="2" type="noConversion"/>
  </si>
  <si>
    <t>40012-济南
80012-常州</t>
    <phoneticPr fontId="2" type="noConversion"/>
  </si>
  <si>
    <t>40027-济南
80024-常州</t>
    <phoneticPr fontId="2" type="noConversion"/>
  </si>
  <si>
    <t>40050-济南
80035-常州</t>
    <phoneticPr fontId="2" type="noConversion"/>
  </si>
  <si>
    <t>0.8
1.02</t>
    <phoneticPr fontId="2" type="noConversion"/>
  </si>
  <si>
    <t>0.98
1.88</t>
    <phoneticPr fontId="2" type="noConversion"/>
  </si>
  <si>
    <t>40036-济南
80036-常州</t>
    <phoneticPr fontId="2" type="noConversion"/>
  </si>
  <si>
    <t>16
21</t>
    <phoneticPr fontId="2" type="noConversion"/>
  </si>
  <si>
    <t>L/200*5,   若L&lt;200,节拍最低为5s</t>
    <phoneticPr fontId="2" type="noConversion"/>
  </si>
  <si>
    <t>组装护套 4种
（Aluminun/corrugated/EPDM/编护套）</t>
    <phoneticPr fontId="2" type="noConversion"/>
  </si>
  <si>
    <t>L对应单根护套的长度，求总和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</si>
</sst>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0"/>
      <name val="Arial"/>
      <family val="2"/>
    </font>
    <font>
      <sz val="12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2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86"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3" fillId="2" borderId="7" xfId="0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3" borderId="1" xfId="1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1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3" borderId="17" xfId="1" applyFont="1" applyFill="1" applyBorder="1" applyAlignment="1">
      <alignment horizontal="left" vertical="center"/>
    </xf>
    <xf numFmtId="0" fontId="5" fillId="3" borderId="17" xfId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5" fillId="3" borderId="9" xfId="1" applyFont="1" applyFill="1" applyBorder="1" applyAlignment="1">
      <alignment horizontal="left" vertical="center"/>
    </xf>
    <xf numFmtId="0" fontId="5" fillId="3" borderId="9" xfId="1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5" fillId="4" borderId="21" xfId="1" applyFont="1" applyFill="1" applyBorder="1" applyAlignment="1">
      <alignment horizontal="left" vertical="center"/>
    </xf>
    <xf numFmtId="0" fontId="5" fillId="3" borderId="24" xfId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center" vertical="center"/>
    </xf>
    <xf numFmtId="0" fontId="5" fillId="3" borderId="27" xfId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176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5" fillId="4" borderId="9" xfId="1" applyFont="1" applyFill="1" applyBorder="1" applyAlignment="1">
      <alignment horizontal="left" vertical="center"/>
    </xf>
    <xf numFmtId="176" fontId="3" fillId="0" borderId="14" xfId="0" applyNumberFormat="1" applyFont="1" applyBorder="1" applyAlignment="1">
      <alignment horizontal="center" vertical="center"/>
    </xf>
    <xf numFmtId="176" fontId="3" fillId="0" borderId="21" xfId="0" applyNumberFormat="1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3" fillId="4" borderId="1" xfId="1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2" fontId="3" fillId="0" borderId="1" xfId="1" applyNumberFormat="1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/>
    </xf>
    <xf numFmtId="0" fontId="3" fillId="0" borderId="39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1" xfId="0" applyFont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5" xfId="0" applyFont="1" applyBorder="1" applyAlignment="1">
      <alignment horizontal="left" vertical="center"/>
    </xf>
    <xf numFmtId="0" fontId="3" fillId="0" borderId="45" xfId="0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2" fontId="3" fillId="4" borderId="19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32" xfId="0" applyFont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/>
    </xf>
    <xf numFmtId="0" fontId="5" fillId="4" borderId="31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5" fillId="4" borderId="47" xfId="1" applyFont="1" applyFill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 wrapText="1"/>
    </xf>
    <xf numFmtId="0" fontId="3" fillId="4" borderId="2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5" fillId="4" borderId="14" xfId="1" applyFont="1" applyFill="1" applyBorder="1" applyAlignment="1">
      <alignment horizontal="center" vertical="center"/>
    </xf>
    <xf numFmtId="0" fontId="5" fillId="4" borderId="10" xfId="1" applyFont="1" applyFill="1" applyBorder="1" applyAlignment="1">
      <alignment horizontal="center" vertical="center"/>
    </xf>
    <xf numFmtId="0" fontId="5" fillId="4" borderId="9" xfId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21" xfId="1" applyFont="1" applyFill="1" applyBorder="1" applyAlignment="1">
      <alignment horizontal="center" vertical="center"/>
    </xf>
    <xf numFmtId="0" fontId="5" fillId="3" borderId="27" xfId="1" applyFont="1" applyFill="1" applyBorder="1" applyAlignment="1">
      <alignment horizontal="center" vertical="center"/>
    </xf>
    <xf numFmtId="0" fontId="5" fillId="3" borderId="28" xfId="1" applyFont="1" applyFill="1" applyBorder="1" applyAlignment="1">
      <alignment horizontal="center" vertical="center"/>
    </xf>
    <xf numFmtId="0" fontId="5" fillId="4" borderId="33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3" borderId="24" xfId="1" applyFont="1" applyFill="1" applyBorder="1" applyAlignment="1">
      <alignment horizontal="center" vertical="center"/>
    </xf>
    <xf numFmtId="0" fontId="5" fillId="3" borderId="25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36" xfId="1" applyFont="1" applyFill="1" applyBorder="1" applyAlignment="1">
      <alignment horizontal="center" vertical="center"/>
    </xf>
    <xf numFmtId="2" fontId="5" fillId="0" borderId="14" xfId="1" applyNumberFormat="1" applyFont="1" applyBorder="1" applyAlignment="1">
      <alignment horizontal="center" vertical="center"/>
    </xf>
    <xf numFmtId="2" fontId="5" fillId="0" borderId="10" xfId="1" applyNumberFormat="1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2" fontId="3" fillId="4" borderId="13" xfId="1" applyNumberFormat="1" applyFont="1" applyFill="1" applyBorder="1" applyAlignment="1">
      <alignment horizontal="center" vertical="center"/>
    </xf>
    <xf numFmtId="2" fontId="3" fillId="4" borderId="15" xfId="1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</cellXfs>
  <cellStyles count="2">
    <cellStyle name="常规" xfId="0" builtinId="0"/>
    <cellStyle name="常规 2 3" xfId="1" xr:uid="{66E608DF-D593-4E75-B671-68FCD3A985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963707</xdr:colOff>
      <xdr:row>39</xdr:row>
      <xdr:rowOff>11206</xdr:rowOff>
    </xdr:from>
    <xdr:to>
      <xdr:col>9</xdr:col>
      <xdr:colOff>358589</xdr:colOff>
      <xdr:row>39</xdr:row>
      <xdr:rowOff>136073</xdr:rowOff>
    </xdr:to>
    <xdr:cxnSp macro="">
      <xdr:nvCxnSpPr>
        <xdr:cNvPr id="2" name="Gerade Verbindung mit Pfeil 22">
          <a:extLst>
            <a:ext uri="{FF2B5EF4-FFF2-40B4-BE49-F238E27FC236}">
              <a16:creationId xmlns:a16="http://schemas.microsoft.com/office/drawing/2014/main" id="{3FB2C45A-5658-4C0F-8825-81159EC590CF}"/>
            </a:ext>
          </a:extLst>
        </xdr:cNvPr>
        <xdr:cNvCxnSpPr/>
      </xdr:nvCxnSpPr>
      <xdr:spPr>
        <a:xfrm flipV="1">
          <a:off x="9866407" y="11282456"/>
          <a:ext cx="823632" cy="12486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506780</xdr:colOff>
      <xdr:row>42</xdr:row>
      <xdr:rowOff>80760</xdr:rowOff>
    </xdr:from>
    <xdr:to>
      <xdr:col>9</xdr:col>
      <xdr:colOff>1303244</xdr:colOff>
      <xdr:row>45</xdr:row>
      <xdr:rowOff>27332</xdr:rowOff>
    </xdr:to>
    <xdr:pic>
      <xdr:nvPicPr>
        <xdr:cNvPr id="3" name="图片 153018">
          <a:extLst>
            <a:ext uri="{FF2B5EF4-FFF2-40B4-BE49-F238E27FC236}">
              <a16:creationId xmlns:a16="http://schemas.microsoft.com/office/drawing/2014/main" id="{5E64AB34-78FB-4C56-9DC4-6B00033A0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8230" y="12114010"/>
          <a:ext cx="796464" cy="708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1135155</xdr:colOff>
      <xdr:row>42</xdr:row>
      <xdr:rowOff>170891</xdr:rowOff>
    </xdr:from>
    <xdr:to>
      <xdr:col>9</xdr:col>
      <xdr:colOff>506780</xdr:colOff>
      <xdr:row>43</xdr:row>
      <xdr:rowOff>177871</xdr:rowOff>
    </xdr:to>
    <xdr:cxnSp macro="">
      <xdr:nvCxnSpPr>
        <xdr:cNvPr id="4" name="Gerade Verbindung mit Pfeil 22">
          <a:extLst>
            <a:ext uri="{FF2B5EF4-FFF2-40B4-BE49-F238E27FC236}">
              <a16:creationId xmlns:a16="http://schemas.microsoft.com/office/drawing/2014/main" id="{A6810E13-CDAF-47C1-9905-151C2FC6497C}"/>
            </a:ext>
          </a:extLst>
        </xdr:cNvPr>
        <xdr:cNvCxnSpPr>
          <a:endCxn id="3" idx="1"/>
        </xdr:cNvCxnSpPr>
      </xdr:nvCxnSpPr>
      <xdr:spPr>
        <a:xfrm>
          <a:off x="10037855" y="12204141"/>
          <a:ext cx="800375" cy="2609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903942</xdr:colOff>
      <xdr:row>38</xdr:row>
      <xdr:rowOff>98444</xdr:rowOff>
    </xdr:from>
    <xdr:to>
      <xdr:col>10</xdr:col>
      <xdr:colOff>144930</xdr:colOff>
      <xdr:row>41</xdr:row>
      <xdr:rowOff>108980</xdr:rowOff>
    </xdr:to>
    <xdr:pic>
      <xdr:nvPicPr>
        <xdr:cNvPr id="5" name="图片 40">
          <a:extLst>
            <a:ext uri="{FF2B5EF4-FFF2-40B4-BE49-F238E27FC236}">
              <a16:creationId xmlns:a16="http://schemas.microsoft.com/office/drawing/2014/main" id="{0CF42DFC-E682-4B3D-98C0-79B4C7851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9589" y="10377973"/>
          <a:ext cx="1145988" cy="772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840442</xdr:colOff>
      <xdr:row>41</xdr:row>
      <xdr:rowOff>47611</xdr:rowOff>
    </xdr:from>
    <xdr:to>
      <xdr:col>10</xdr:col>
      <xdr:colOff>235323</xdr:colOff>
      <xdr:row>42</xdr:row>
      <xdr:rowOff>235323</xdr:rowOff>
    </xdr:to>
    <xdr:pic>
      <xdr:nvPicPr>
        <xdr:cNvPr id="6" name="图片 2">
          <a:extLst>
            <a:ext uri="{FF2B5EF4-FFF2-40B4-BE49-F238E27FC236}">
              <a16:creationId xmlns:a16="http://schemas.microsoft.com/office/drawing/2014/main" id="{5752A9FA-A97D-4470-962F-2C18961BC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71892" y="11826861"/>
          <a:ext cx="791881" cy="4417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1217708</xdr:colOff>
      <xdr:row>39</xdr:row>
      <xdr:rowOff>116412</xdr:rowOff>
    </xdr:from>
    <xdr:to>
      <xdr:col>9</xdr:col>
      <xdr:colOff>903942</xdr:colOff>
      <xdr:row>39</xdr:row>
      <xdr:rowOff>190500</xdr:rowOff>
    </xdr:to>
    <xdr:cxnSp macro="">
      <xdr:nvCxnSpPr>
        <xdr:cNvPr id="7" name="Gerade Verbindung mit Pfeil 22">
          <a:extLst>
            <a:ext uri="{FF2B5EF4-FFF2-40B4-BE49-F238E27FC236}">
              <a16:creationId xmlns:a16="http://schemas.microsoft.com/office/drawing/2014/main" id="{27151126-3138-4287-A28E-E1C977116848}"/>
            </a:ext>
          </a:extLst>
        </xdr:cNvPr>
        <xdr:cNvCxnSpPr>
          <a:endCxn id="5" idx="1"/>
        </xdr:cNvCxnSpPr>
      </xdr:nvCxnSpPr>
      <xdr:spPr>
        <a:xfrm flipV="1">
          <a:off x="10765120" y="10649941"/>
          <a:ext cx="1404469" cy="740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941294</xdr:colOff>
      <xdr:row>41</xdr:row>
      <xdr:rowOff>123267</xdr:rowOff>
    </xdr:from>
    <xdr:to>
      <xdr:col>9</xdr:col>
      <xdr:colOff>616324</xdr:colOff>
      <xdr:row>41</xdr:row>
      <xdr:rowOff>179294</xdr:rowOff>
    </xdr:to>
    <xdr:cxnSp macro="">
      <xdr:nvCxnSpPr>
        <xdr:cNvPr id="8" name="Gerade Verbindung mit Pfeil 22">
          <a:extLst>
            <a:ext uri="{FF2B5EF4-FFF2-40B4-BE49-F238E27FC236}">
              <a16:creationId xmlns:a16="http://schemas.microsoft.com/office/drawing/2014/main" id="{0047278A-BB02-4B03-85A0-E2A5EA2DD020}"/>
            </a:ext>
          </a:extLst>
        </xdr:cNvPr>
        <xdr:cNvCxnSpPr/>
      </xdr:nvCxnSpPr>
      <xdr:spPr>
        <a:xfrm>
          <a:off x="9843994" y="11902517"/>
          <a:ext cx="1103780" cy="5602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326809</xdr:colOff>
      <xdr:row>37</xdr:row>
      <xdr:rowOff>11206</xdr:rowOff>
    </xdr:from>
    <xdr:to>
      <xdr:col>11</xdr:col>
      <xdr:colOff>2639</xdr:colOff>
      <xdr:row>39</xdr:row>
      <xdr:rowOff>138351</xdr:rowOff>
    </xdr:to>
    <xdr:grpSp>
      <xdr:nvGrpSpPr>
        <xdr:cNvPr id="9" name="Gruppieren 6">
          <a:extLst>
            <a:ext uri="{FF2B5EF4-FFF2-40B4-BE49-F238E27FC236}">
              <a16:creationId xmlns:a16="http://schemas.microsoft.com/office/drawing/2014/main" id="{52223BC5-891B-490B-B606-2B10158AE969}"/>
            </a:ext>
          </a:extLst>
        </xdr:cNvPr>
        <xdr:cNvGrpSpPr/>
      </xdr:nvGrpSpPr>
      <xdr:grpSpPr>
        <a:xfrm>
          <a:off x="13335238" y="10007920"/>
          <a:ext cx="3050401" cy="635145"/>
          <a:chOff x="18091820" y="53937002"/>
          <a:chExt cx="5333334" cy="2182711"/>
        </a:xfrm>
      </xdr:grpSpPr>
      <xdr:pic>
        <xdr:nvPicPr>
          <xdr:cNvPr id="10" name="Grafik 3">
            <a:extLst>
              <a:ext uri="{FF2B5EF4-FFF2-40B4-BE49-F238E27FC236}">
                <a16:creationId xmlns:a16="http://schemas.microsoft.com/office/drawing/2014/main" id="{8A1AEBB4-FE7F-A600-D411-23FACBBA58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8091820" y="53937002"/>
            <a:ext cx="5333334" cy="2142858"/>
          </a:xfrm>
          <a:prstGeom prst="rect">
            <a:avLst/>
          </a:prstGeom>
        </xdr:spPr>
      </xdr:pic>
      <xdr:sp macro="" textlink="">
        <xdr:nvSpPr>
          <xdr:cNvPr id="11" name="Rechteck 4">
            <a:extLst>
              <a:ext uri="{FF2B5EF4-FFF2-40B4-BE49-F238E27FC236}">
                <a16:creationId xmlns:a16="http://schemas.microsoft.com/office/drawing/2014/main" id="{0680AA48-CCB7-94B6-283B-EEB9B19A3F0E}"/>
              </a:ext>
            </a:extLst>
          </xdr:cNvPr>
          <xdr:cNvSpPr/>
        </xdr:nvSpPr>
        <xdr:spPr>
          <a:xfrm>
            <a:off x="18486438" y="54141688"/>
            <a:ext cx="1905000" cy="992187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2" name="Rechteck 5">
            <a:extLst>
              <a:ext uri="{FF2B5EF4-FFF2-40B4-BE49-F238E27FC236}">
                <a16:creationId xmlns:a16="http://schemas.microsoft.com/office/drawing/2014/main" id="{423ED3BF-BAFA-4114-F8E3-DBE7250B223A}"/>
              </a:ext>
            </a:extLst>
          </xdr:cNvPr>
          <xdr:cNvSpPr/>
        </xdr:nvSpPr>
        <xdr:spPr>
          <a:xfrm>
            <a:off x="21304249" y="55443438"/>
            <a:ext cx="1311275" cy="6762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  <xdr:twoCellAnchor editAs="oneCell">
    <xdr:from>
      <xdr:col>11</xdr:col>
      <xdr:colOff>184151</xdr:colOff>
      <xdr:row>19</xdr:row>
      <xdr:rowOff>106081</xdr:rowOff>
    </xdr:from>
    <xdr:to>
      <xdr:col>18</xdr:col>
      <xdr:colOff>458312</xdr:colOff>
      <xdr:row>31</xdr:row>
      <xdr:rowOff>135318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78A59385-06A8-4766-88A6-5EC186914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01975" y="4849905"/>
          <a:ext cx="8006220" cy="3032413"/>
        </a:xfrm>
        <a:prstGeom prst="rect">
          <a:avLst/>
        </a:prstGeom>
      </xdr:spPr>
    </xdr:pic>
    <xdr:clientData/>
  </xdr:twoCellAnchor>
  <xdr:twoCellAnchor editAs="oneCell">
    <xdr:from>
      <xdr:col>11</xdr:col>
      <xdr:colOff>268940</xdr:colOff>
      <xdr:row>65</xdr:row>
      <xdr:rowOff>186766</xdr:rowOff>
    </xdr:from>
    <xdr:to>
      <xdr:col>14</xdr:col>
      <xdr:colOff>625316</xdr:colOff>
      <xdr:row>68</xdr:row>
      <xdr:rowOff>21727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57C6393F-E15A-44FE-A3A6-F5C6F0B4D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54411" y="17264531"/>
          <a:ext cx="4965729" cy="596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topLeftCell="A9" zoomScale="70" zoomScaleNormal="70" workbookViewId="0">
      <selection activeCell="E59" sqref="E59:E60"/>
    </sheetView>
  </sheetViews>
  <sheetFormatPr baseColWidth="10" defaultColWidth="8.33203125" defaultRowHeight="20.25" customHeight="1"/>
  <cols>
    <col min="1" max="1" width="9.1640625" style="61" customWidth="1"/>
    <col min="2" max="2" width="25.83203125" style="61" bestFit="1" customWidth="1"/>
    <col min="3" max="4" width="19.83203125" style="61" bestFit="1" customWidth="1"/>
    <col min="5" max="5" width="36.33203125" style="62" bestFit="1" customWidth="1"/>
    <col min="6" max="6" width="14.1640625" style="63" customWidth="1"/>
    <col min="7" max="7" width="20.1640625" style="63" hidden="1" customWidth="1"/>
    <col min="8" max="9" width="22.5" style="63" customWidth="1"/>
    <col min="10" max="10" width="25" style="63" customWidth="1"/>
    <col min="11" max="11" width="19.1640625" style="63" bestFit="1" customWidth="1"/>
    <col min="12" max="12" width="19.83203125" style="3" customWidth="1"/>
    <col min="13" max="13" width="20.1640625" style="4" customWidth="1"/>
    <col min="14" max="14" width="20.33203125" customWidth="1"/>
    <col min="16" max="16" width="16" customWidth="1"/>
  </cols>
  <sheetData>
    <row r="1" spans="1:11" ht="20.25" customHeight="1">
      <c r="A1" s="164" t="s">
        <v>0</v>
      </c>
      <c r="B1" s="165"/>
      <c r="C1" s="165"/>
      <c r="D1" s="165"/>
      <c r="E1" s="165"/>
      <c r="F1" s="165"/>
      <c r="G1" s="165"/>
      <c r="H1" s="166"/>
      <c r="I1" s="1"/>
      <c r="J1" s="2" t="s">
        <v>1</v>
      </c>
      <c r="K1" s="2" t="s">
        <v>2</v>
      </c>
    </row>
    <row r="2" spans="1:11" ht="20.25" customHeight="1">
      <c r="A2" s="167"/>
      <c r="B2" s="168"/>
      <c r="C2" s="168"/>
      <c r="D2" s="168"/>
      <c r="E2" s="168"/>
      <c r="F2" s="168"/>
      <c r="G2" s="168"/>
      <c r="H2" s="169"/>
      <c r="I2" s="5"/>
      <c r="J2" s="2" t="s">
        <v>3</v>
      </c>
      <c r="K2" s="2" t="s">
        <v>4</v>
      </c>
    </row>
    <row r="3" spans="1:11" ht="20.25" customHeight="1">
      <c r="A3" s="6" t="s">
        <v>5</v>
      </c>
      <c r="B3" s="7" t="s">
        <v>6</v>
      </c>
      <c r="C3" s="7" t="s">
        <v>101</v>
      </c>
      <c r="D3" s="7" t="s">
        <v>7</v>
      </c>
      <c r="E3" s="170" t="s">
        <v>8</v>
      </c>
      <c r="F3" s="171"/>
      <c r="G3" s="171"/>
      <c r="H3" s="171"/>
      <c r="I3" s="7"/>
      <c r="J3" s="171"/>
      <c r="K3" s="172"/>
    </row>
    <row r="4" spans="1:11" ht="24" customHeight="1">
      <c r="A4" s="145" t="s">
        <v>9</v>
      </c>
      <c r="B4" s="107" t="s">
        <v>92</v>
      </c>
      <c r="C4" s="98" t="s">
        <v>102</v>
      </c>
      <c r="D4" s="98">
        <v>40001</v>
      </c>
      <c r="E4" s="10" t="s">
        <v>10</v>
      </c>
      <c r="F4" s="11" t="s">
        <v>11</v>
      </c>
      <c r="G4" s="11" t="s">
        <v>12</v>
      </c>
      <c r="H4" s="11" t="s">
        <v>13</v>
      </c>
      <c r="I4" s="11"/>
      <c r="J4" s="50" t="s">
        <v>95</v>
      </c>
      <c r="K4" s="12"/>
    </row>
    <row r="5" spans="1:11" ht="20.25" customHeight="1">
      <c r="A5" s="145"/>
      <c r="B5" s="98"/>
      <c r="C5" s="98"/>
      <c r="D5" s="98"/>
      <c r="E5" s="13" t="s">
        <v>94</v>
      </c>
      <c r="F5" s="158">
        <v>0.17</v>
      </c>
      <c r="G5" s="14">
        <v>13</v>
      </c>
      <c r="H5" s="14">
        <f>G5*60/100</f>
        <v>7.8</v>
      </c>
      <c r="I5" s="14"/>
      <c r="J5" s="158"/>
      <c r="K5" s="173"/>
    </row>
    <row r="6" spans="1:11" ht="20.25" customHeight="1">
      <c r="A6" s="145"/>
      <c r="B6" s="98"/>
      <c r="C6" s="98"/>
      <c r="D6" s="98"/>
      <c r="E6" s="15" t="s">
        <v>15</v>
      </c>
      <c r="F6" s="158"/>
      <c r="G6" s="16">
        <v>17</v>
      </c>
      <c r="H6" s="14">
        <f t="shared" ref="H6:H9" si="0">G6*60/100</f>
        <v>10.199999999999999</v>
      </c>
      <c r="I6" s="14"/>
      <c r="J6" s="158"/>
      <c r="K6" s="173"/>
    </row>
    <row r="7" spans="1:11" ht="20.25" customHeight="1">
      <c r="A7" s="145"/>
      <c r="B7" s="98"/>
      <c r="C7" s="98"/>
      <c r="D7" s="98"/>
      <c r="E7" s="15" t="s">
        <v>16</v>
      </c>
      <c r="F7" s="158"/>
      <c r="G7" s="16">
        <v>22</v>
      </c>
      <c r="H7" s="14">
        <f t="shared" si="0"/>
        <v>13.2</v>
      </c>
      <c r="I7" s="14"/>
      <c r="J7" s="158"/>
      <c r="K7" s="173"/>
    </row>
    <row r="8" spans="1:11" ht="20.25" customHeight="1">
      <c r="A8" s="145"/>
      <c r="B8" s="98"/>
      <c r="C8" s="98"/>
      <c r="D8" s="98"/>
      <c r="E8" s="15" t="s">
        <v>17</v>
      </c>
      <c r="F8" s="158"/>
      <c r="G8" s="16">
        <v>27</v>
      </c>
      <c r="H8" s="14">
        <f t="shared" si="0"/>
        <v>16.2</v>
      </c>
      <c r="I8" s="14"/>
      <c r="J8" s="158"/>
      <c r="K8" s="173"/>
    </row>
    <row r="9" spans="1:11" ht="20.25" customHeight="1">
      <c r="A9" s="145"/>
      <c r="B9" s="98"/>
      <c r="C9" s="98"/>
      <c r="D9" s="98"/>
      <c r="E9" s="15" t="s">
        <v>18</v>
      </c>
      <c r="F9" s="158"/>
      <c r="G9" s="16">
        <v>32</v>
      </c>
      <c r="H9" s="14">
        <f t="shared" si="0"/>
        <v>19.2</v>
      </c>
      <c r="I9" s="14"/>
      <c r="J9" s="158"/>
      <c r="K9" s="174"/>
    </row>
    <row r="10" spans="1:11" ht="31" customHeight="1" thickBot="1">
      <c r="A10" s="145"/>
      <c r="B10" s="8" t="s">
        <v>93</v>
      </c>
      <c r="C10" s="98"/>
      <c r="D10" s="9">
        <v>40018</v>
      </c>
      <c r="E10" s="13" t="s">
        <v>94</v>
      </c>
      <c r="F10" s="14">
        <v>0.17</v>
      </c>
      <c r="G10" s="16"/>
      <c r="H10" s="14">
        <v>8</v>
      </c>
      <c r="I10" s="14"/>
      <c r="J10" s="14"/>
      <c r="K10" s="69"/>
    </row>
    <row r="11" spans="1:11" ht="20.25" customHeight="1">
      <c r="A11" s="160" t="s">
        <v>19</v>
      </c>
      <c r="B11" s="105" t="s">
        <v>20</v>
      </c>
      <c r="C11" s="113" t="s">
        <v>102</v>
      </c>
      <c r="D11" s="113">
        <v>400027</v>
      </c>
      <c r="E11" s="21" t="s">
        <v>10</v>
      </c>
      <c r="F11" s="22" t="s">
        <v>11</v>
      </c>
      <c r="G11" s="22" t="s">
        <v>12</v>
      </c>
      <c r="H11" s="22" t="s">
        <v>13</v>
      </c>
      <c r="I11" s="22"/>
      <c r="J11" s="22" t="s">
        <v>21</v>
      </c>
      <c r="K11" s="134" t="s">
        <v>96</v>
      </c>
    </row>
    <row r="12" spans="1:11" ht="20.25" customHeight="1">
      <c r="A12" s="161"/>
      <c r="B12" s="98"/>
      <c r="C12" s="98"/>
      <c r="D12" s="98"/>
      <c r="E12" s="13" t="s">
        <v>14</v>
      </c>
      <c r="F12" s="98">
        <v>0.08</v>
      </c>
      <c r="G12" s="20">
        <f>4/90*100</f>
        <v>4.4444444444444446</v>
      </c>
      <c r="H12" s="20">
        <f>4*60/90</f>
        <v>2.6666666666666665</v>
      </c>
      <c r="I12" s="20"/>
      <c r="J12" s="9" t="s">
        <v>22</v>
      </c>
      <c r="K12" s="162"/>
    </row>
    <row r="13" spans="1:11" ht="20.25" customHeight="1" thickBot="1">
      <c r="A13" s="161"/>
      <c r="B13" s="98"/>
      <c r="C13" s="100"/>
      <c r="D13" s="100"/>
      <c r="E13" s="15" t="s">
        <v>15</v>
      </c>
      <c r="F13" s="98"/>
      <c r="G13" s="20">
        <f>G12*2</f>
        <v>8.8888888888888893</v>
      </c>
      <c r="H13" s="20">
        <v>5</v>
      </c>
      <c r="I13" s="20"/>
      <c r="J13" s="9"/>
      <c r="K13" s="163"/>
    </row>
    <row r="14" spans="1:11" ht="31" customHeight="1">
      <c r="A14" s="109" t="s">
        <v>23</v>
      </c>
      <c r="B14" s="112" t="s">
        <v>83</v>
      </c>
      <c r="C14" s="98" t="s">
        <v>104</v>
      </c>
      <c r="D14" s="70"/>
      <c r="E14" s="18" t="s">
        <v>10</v>
      </c>
      <c r="F14" s="11" t="s">
        <v>11</v>
      </c>
      <c r="G14" s="19" t="s">
        <v>12</v>
      </c>
      <c r="H14" s="19" t="s">
        <v>13</v>
      </c>
      <c r="I14" s="25"/>
      <c r="J14" s="142" t="s">
        <v>24</v>
      </c>
      <c r="K14" s="143"/>
    </row>
    <row r="15" spans="1:11" ht="25" customHeight="1">
      <c r="A15" s="110"/>
      <c r="B15" s="104"/>
      <c r="C15" s="98"/>
      <c r="D15" s="9">
        <v>40028</v>
      </c>
      <c r="E15" s="29" t="s">
        <v>85</v>
      </c>
      <c r="F15" s="68">
        <v>0.25</v>
      </c>
      <c r="G15" s="30">
        <f t="shared" ref="G15:G17" si="1">H15/60*100</f>
        <v>20</v>
      </c>
      <c r="H15" s="9">
        <v>12</v>
      </c>
      <c r="I15" s="42"/>
      <c r="J15" s="137" t="s">
        <v>27</v>
      </c>
      <c r="K15" s="138"/>
    </row>
    <row r="16" spans="1:11" ht="25" customHeight="1">
      <c r="A16" s="110"/>
      <c r="B16" s="104"/>
      <c r="C16" s="100" t="s">
        <v>103</v>
      </c>
      <c r="D16" s="100">
        <v>40048</v>
      </c>
      <c r="E16" s="29" t="s">
        <v>85</v>
      </c>
      <c r="F16" s="68">
        <v>0.25</v>
      </c>
      <c r="G16" s="30">
        <f t="shared" ref="G16" si="2">H16/60*100</f>
        <v>20</v>
      </c>
      <c r="H16" s="9">
        <v>12</v>
      </c>
      <c r="I16" s="35"/>
      <c r="J16" s="130"/>
      <c r="K16" s="139"/>
    </row>
    <row r="17" spans="1:11" ht="30.75" customHeight="1" thickBot="1">
      <c r="A17" s="110"/>
      <c r="B17" s="106"/>
      <c r="C17" s="113"/>
      <c r="D17" s="113"/>
      <c r="E17" s="29" t="s">
        <v>105</v>
      </c>
      <c r="F17" s="68">
        <v>0.25</v>
      </c>
      <c r="G17" s="30">
        <f t="shared" si="1"/>
        <v>25</v>
      </c>
      <c r="H17" s="9">
        <v>15</v>
      </c>
      <c r="I17" s="44"/>
      <c r="J17" s="140"/>
      <c r="K17" s="141"/>
    </row>
    <row r="18" spans="1:11" ht="21" customHeight="1">
      <c r="A18" s="115" t="s">
        <v>28</v>
      </c>
      <c r="B18" s="103" t="s">
        <v>29</v>
      </c>
      <c r="C18" s="100" t="s">
        <v>103</v>
      </c>
      <c r="D18" s="28"/>
      <c r="E18" s="18" t="s">
        <v>10</v>
      </c>
      <c r="F18" s="11" t="s">
        <v>25</v>
      </c>
      <c r="G18" s="11" t="s">
        <v>12</v>
      </c>
      <c r="H18" s="11" t="s">
        <v>84</v>
      </c>
      <c r="I18" s="31"/>
      <c r="J18" s="125" t="s">
        <v>26</v>
      </c>
      <c r="K18" s="126"/>
    </row>
    <row r="19" spans="1:11" ht="21" customHeight="1">
      <c r="A19" s="116"/>
      <c r="B19" s="104"/>
      <c r="C19" s="101"/>
      <c r="D19" s="28">
        <v>40032</v>
      </c>
      <c r="E19" s="32" t="s">
        <v>106</v>
      </c>
      <c r="F19" s="117">
        <v>0.25</v>
      </c>
      <c r="G19" s="33">
        <f>H19/60*100</f>
        <v>5</v>
      </c>
      <c r="H19" s="34">
        <v>3</v>
      </c>
      <c r="I19" s="35"/>
      <c r="J19" s="128" t="s">
        <v>30</v>
      </c>
      <c r="K19" s="129"/>
    </row>
    <row r="20" spans="1:11" ht="21" customHeight="1">
      <c r="A20" s="116"/>
      <c r="B20" s="104"/>
      <c r="C20" s="101"/>
      <c r="D20" s="100">
        <v>40031</v>
      </c>
      <c r="E20" s="32" t="s">
        <v>97</v>
      </c>
      <c r="F20" s="118"/>
      <c r="G20" s="33">
        <f t="shared" ref="G20:G21" si="3">H20/60*100</f>
        <v>8.3333333333333321</v>
      </c>
      <c r="H20" s="34">
        <v>5</v>
      </c>
      <c r="I20" s="35"/>
      <c r="J20" s="130"/>
      <c r="K20" s="131"/>
    </row>
    <row r="21" spans="1:11" ht="21" customHeight="1" thickBot="1">
      <c r="A21" s="116"/>
      <c r="B21" s="106"/>
      <c r="C21" s="102"/>
      <c r="D21" s="113"/>
      <c r="E21" s="32" t="s">
        <v>31</v>
      </c>
      <c r="F21" s="127"/>
      <c r="G21" s="33">
        <f t="shared" si="3"/>
        <v>58.333333333333336</v>
      </c>
      <c r="H21" s="34">
        <v>35</v>
      </c>
      <c r="I21" s="35"/>
      <c r="J21" s="132"/>
      <c r="K21" s="133"/>
    </row>
    <row r="22" spans="1:11" ht="20.25" customHeight="1">
      <c r="A22" s="109" t="s">
        <v>32</v>
      </c>
      <c r="B22" s="103" t="s">
        <v>100</v>
      </c>
      <c r="C22" s="103" t="s">
        <v>104</v>
      </c>
      <c r="D22" s="103" t="s">
        <v>86</v>
      </c>
      <c r="E22" s="18" t="s">
        <v>10</v>
      </c>
      <c r="F22" s="11" t="s">
        <v>25</v>
      </c>
      <c r="G22" s="11" t="s">
        <v>12</v>
      </c>
      <c r="H22" s="11" t="s">
        <v>13</v>
      </c>
      <c r="I22" s="22"/>
      <c r="J22" s="22" t="s">
        <v>21</v>
      </c>
      <c r="K22" s="134" t="s">
        <v>33</v>
      </c>
    </row>
    <row r="23" spans="1:11" ht="20.25" customHeight="1">
      <c r="A23" s="110"/>
      <c r="B23" s="104"/>
      <c r="C23" s="104"/>
      <c r="D23" s="104"/>
      <c r="E23" s="15" t="s">
        <v>14</v>
      </c>
      <c r="F23" s="123">
        <v>0.25</v>
      </c>
      <c r="G23" s="9">
        <f>H23/60*100</f>
        <v>50</v>
      </c>
      <c r="H23" s="9">
        <v>30</v>
      </c>
      <c r="I23" s="17"/>
      <c r="J23" s="100" t="s">
        <v>39</v>
      </c>
      <c r="K23" s="135"/>
    </row>
    <row r="24" spans="1:11" ht="20.25" customHeight="1">
      <c r="A24" s="110"/>
      <c r="B24" s="104"/>
      <c r="C24" s="104"/>
      <c r="D24" s="104"/>
      <c r="E24" s="15" t="s">
        <v>107</v>
      </c>
      <c r="F24" s="123"/>
      <c r="G24" s="30">
        <f t="shared" ref="G24:G26" si="4">H24/60*100</f>
        <v>58.333333333333336</v>
      </c>
      <c r="H24" s="9">
        <v>35</v>
      </c>
      <c r="I24" s="28"/>
      <c r="J24" s="101"/>
      <c r="K24" s="135"/>
    </row>
    <row r="25" spans="1:11" ht="20.25" customHeight="1">
      <c r="A25" s="110"/>
      <c r="B25" s="104"/>
      <c r="C25" s="104"/>
      <c r="D25" s="104"/>
      <c r="E25" s="15" t="s">
        <v>41</v>
      </c>
      <c r="F25" s="117"/>
      <c r="G25" s="39">
        <f t="shared" si="4"/>
        <v>66.666666666666657</v>
      </c>
      <c r="H25" s="17">
        <v>40</v>
      </c>
      <c r="I25" s="28"/>
      <c r="J25" s="101"/>
      <c r="K25" s="135"/>
    </row>
    <row r="26" spans="1:11" ht="20.25" customHeight="1" thickBot="1">
      <c r="A26" s="110"/>
      <c r="B26" s="104"/>
      <c r="C26" s="104"/>
      <c r="D26" s="104"/>
      <c r="E26" s="24" t="s">
        <v>108</v>
      </c>
      <c r="F26" s="124"/>
      <c r="G26" s="40">
        <f t="shared" si="4"/>
        <v>100</v>
      </c>
      <c r="H26" s="23">
        <v>60</v>
      </c>
      <c r="I26" s="41"/>
      <c r="J26" s="102"/>
      <c r="K26" s="135"/>
    </row>
    <row r="27" spans="1:11" ht="20.25" customHeight="1">
      <c r="A27" s="110"/>
      <c r="B27" s="104"/>
      <c r="C27" s="103" t="s">
        <v>103</v>
      </c>
      <c r="D27" s="103" t="s">
        <v>99</v>
      </c>
      <c r="E27" s="18" t="s">
        <v>10</v>
      </c>
      <c r="F27" s="11" t="s">
        <v>25</v>
      </c>
      <c r="G27" s="11" t="s">
        <v>12</v>
      </c>
      <c r="H27" s="11" t="s">
        <v>13</v>
      </c>
      <c r="I27" s="22"/>
      <c r="J27" s="22" t="s">
        <v>21</v>
      </c>
      <c r="K27" s="135"/>
    </row>
    <row r="28" spans="1:11" ht="20.25" customHeight="1">
      <c r="A28" s="110"/>
      <c r="B28" s="104"/>
      <c r="C28" s="104"/>
      <c r="D28" s="104"/>
      <c r="E28" s="15" t="s">
        <v>14</v>
      </c>
      <c r="F28" s="123">
        <v>0.25</v>
      </c>
      <c r="G28" s="9">
        <f>H28/60*100</f>
        <v>50</v>
      </c>
      <c r="H28" s="9">
        <v>30</v>
      </c>
      <c r="I28" s="17"/>
      <c r="J28" s="100" t="s">
        <v>39</v>
      </c>
      <c r="K28" s="135"/>
    </row>
    <row r="29" spans="1:11" ht="20.25" customHeight="1">
      <c r="A29" s="110"/>
      <c r="B29" s="104"/>
      <c r="C29" s="104"/>
      <c r="D29" s="104"/>
      <c r="E29" s="15" t="s">
        <v>40</v>
      </c>
      <c r="F29" s="123"/>
      <c r="G29" s="30">
        <f t="shared" ref="G29:G31" si="5">H29/60*100</f>
        <v>58.333333333333336</v>
      </c>
      <c r="H29" s="9">
        <v>35</v>
      </c>
      <c r="I29" s="28"/>
      <c r="J29" s="101"/>
      <c r="K29" s="135"/>
    </row>
    <row r="30" spans="1:11" ht="20.25" customHeight="1">
      <c r="A30" s="110"/>
      <c r="B30" s="104"/>
      <c r="C30" s="104"/>
      <c r="D30" s="104"/>
      <c r="E30" s="15" t="s">
        <v>41</v>
      </c>
      <c r="F30" s="117"/>
      <c r="G30" s="39">
        <f t="shared" si="5"/>
        <v>66.666666666666657</v>
      </c>
      <c r="H30" s="17">
        <v>40</v>
      </c>
      <c r="I30" s="28"/>
      <c r="J30" s="101"/>
      <c r="K30" s="135"/>
    </row>
    <row r="31" spans="1:11" ht="20.25" customHeight="1" thickBot="1">
      <c r="A31" s="110"/>
      <c r="B31" s="104"/>
      <c r="C31" s="104"/>
      <c r="D31" s="104"/>
      <c r="E31" s="24" t="s">
        <v>42</v>
      </c>
      <c r="F31" s="124"/>
      <c r="G31" s="40">
        <f t="shared" si="5"/>
        <v>100</v>
      </c>
      <c r="H31" s="23">
        <v>60</v>
      </c>
      <c r="I31" s="41"/>
      <c r="J31" s="102"/>
      <c r="K31" s="136"/>
    </row>
    <row r="32" spans="1:11" ht="19.5" customHeight="1">
      <c r="A32" s="110"/>
      <c r="B32" s="104"/>
      <c r="C32" s="104"/>
      <c r="D32" s="107" t="s">
        <v>98</v>
      </c>
      <c r="E32" s="18" t="s">
        <v>10</v>
      </c>
      <c r="F32" s="19" t="s">
        <v>25</v>
      </c>
      <c r="G32" s="19" t="s">
        <v>12</v>
      </c>
      <c r="H32" s="19" t="s">
        <v>13</v>
      </c>
      <c r="I32" s="19"/>
      <c r="J32" s="19" t="s">
        <v>21</v>
      </c>
      <c r="K32" s="71"/>
    </row>
    <row r="33" spans="1:11" ht="19.5" customHeight="1">
      <c r="A33" s="110"/>
      <c r="B33" s="104"/>
      <c r="C33" s="104"/>
      <c r="D33" s="107"/>
      <c r="E33" s="15" t="s">
        <v>34</v>
      </c>
      <c r="F33" s="117">
        <v>0.25</v>
      </c>
      <c r="G33" s="9">
        <f>H33/60*100</f>
        <v>75</v>
      </c>
      <c r="H33" s="9">
        <v>45</v>
      </c>
      <c r="I33" s="17"/>
      <c r="J33" s="120" t="s">
        <v>35</v>
      </c>
      <c r="K33" s="71"/>
    </row>
    <row r="34" spans="1:11" ht="19.5" customHeight="1">
      <c r="A34" s="110"/>
      <c r="B34" s="104"/>
      <c r="C34" s="104"/>
      <c r="D34" s="107"/>
      <c r="E34" s="15" t="s">
        <v>36</v>
      </c>
      <c r="F34" s="118"/>
      <c r="G34" s="9">
        <f>H34/60*100</f>
        <v>100</v>
      </c>
      <c r="H34" s="9">
        <v>60</v>
      </c>
      <c r="I34" s="28"/>
      <c r="J34" s="121"/>
      <c r="K34" s="71"/>
    </row>
    <row r="35" spans="1:11" ht="19.5" customHeight="1">
      <c r="A35" s="110"/>
      <c r="B35" s="104"/>
      <c r="C35" s="104"/>
      <c r="D35" s="107"/>
      <c r="E35" s="15" t="s">
        <v>37</v>
      </c>
      <c r="F35" s="118"/>
      <c r="G35" s="9">
        <f>H35/60*100</f>
        <v>200</v>
      </c>
      <c r="H35" s="9">
        <v>120</v>
      </c>
      <c r="I35" s="28"/>
      <c r="J35" s="121"/>
      <c r="K35" s="71"/>
    </row>
    <row r="36" spans="1:11" ht="19.5" customHeight="1" thickBot="1">
      <c r="A36" s="111"/>
      <c r="B36" s="106"/>
      <c r="C36" s="105"/>
      <c r="D36" s="107"/>
      <c r="E36" s="38" t="s">
        <v>38</v>
      </c>
      <c r="F36" s="119"/>
      <c r="G36" s="33">
        <f>H36/60*100</f>
        <v>236.66666666666666</v>
      </c>
      <c r="H36" s="9">
        <v>142</v>
      </c>
      <c r="I36" s="34"/>
      <c r="J36" s="122"/>
      <c r="K36" s="71"/>
    </row>
    <row r="37" spans="1:11" ht="20.25" customHeight="1">
      <c r="A37" s="148" t="s">
        <v>43</v>
      </c>
      <c r="B37" s="114" t="s">
        <v>44</v>
      </c>
      <c r="C37" s="113" t="s">
        <v>102</v>
      </c>
      <c r="D37" s="113">
        <v>40007</v>
      </c>
      <c r="E37" s="18" t="s">
        <v>10</v>
      </c>
      <c r="F37" s="19" t="s">
        <v>25</v>
      </c>
      <c r="G37" s="19" t="s">
        <v>12</v>
      </c>
      <c r="H37" s="19" t="s">
        <v>13</v>
      </c>
      <c r="I37" s="25"/>
      <c r="J37" s="156" t="s">
        <v>45</v>
      </c>
      <c r="K37" s="157"/>
    </row>
    <row r="38" spans="1:11" ht="20.25" customHeight="1">
      <c r="A38" s="149"/>
      <c r="B38" s="98"/>
      <c r="C38" s="98"/>
      <c r="D38" s="98"/>
      <c r="E38" s="15" t="s">
        <v>109</v>
      </c>
      <c r="F38" s="158">
        <v>0.08</v>
      </c>
      <c r="G38" s="14">
        <f>H38/60*100</f>
        <v>8</v>
      </c>
      <c r="H38" s="14">
        <v>4.8</v>
      </c>
      <c r="I38" s="72"/>
      <c r="J38" s="137"/>
      <c r="K38" s="129"/>
    </row>
    <row r="39" spans="1:11" ht="20.25" customHeight="1">
      <c r="A39" s="149"/>
      <c r="B39" s="98"/>
      <c r="C39" s="98"/>
      <c r="D39" s="98"/>
      <c r="E39" s="15" t="s">
        <v>46</v>
      </c>
      <c r="F39" s="158"/>
      <c r="G39" s="43">
        <f t="shared" ref="G39:G48" si="6">H39/60*100</f>
        <v>10</v>
      </c>
      <c r="H39" s="16">
        <v>6</v>
      </c>
      <c r="I39" s="73"/>
      <c r="J39" s="130"/>
      <c r="K39" s="131"/>
    </row>
    <row r="40" spans="1:11" ht="20.25" customHeight="1">
      <c r="A40" s="149"/>
      <c r="B40" s="98"/>
      <c r="C40" s="98"/>
      <c r="D40" s="98"/>
      <c r="E40" s="15" t="s">
        <v>47</v>
      </c>
      <c r="F40" s="158"/>
      <c r="G40" s="43">
        <f t="shared" si="6"/>
        <v>15</v>
      </c>
      <c r="H40" s="16">
        <v>9</v>
      </c>
      <c r="I40" s="73"/>
      <c r="J40" s="130"/>
      <c r="K40" s="131"/>
    </row>
    <row r="41" spans="1:11" ht="20.25" customHeight="1">
      <c r="A41" s="149"/>
      <c r="B41" s="98"/>
      <c r="C41" s="98"/>
      <c r="D41" s="98"/>
      <c r="E41" s="15" t="s">
        <v>48</v>
      </c>
      <c r="F41" s="158"/>
      <c r="G41" s="43">
        <f t="shared" si="6"/>
        <v>25</v>
      </c>
      <c r="H41" s="16">
        <v>15</v>
      </c>
      <c r="I41" s="73"/>
      <c r="J41" s="130"/>
      <c r="K41" s="131"/>
    </row>
    <row r="42" spans="1:11" ht="20.25" customHeight="1">
      <c r="A42" s="149"/>
      <c r="B42" s="98"/>
      <c r="C42" s="98"/>
      <c r="D42" s="98"/>
      <c r="E42" s="15" t="s">
        <v>49</v>
      </c>
      <c r="F42" s="158"/>
      <c r="G42" s="43">
        <f t="shared" si="6"/>
        <v>15</v>
      </c>
      <c r="H42" s="16">
        <v>9</v>
      </c>
      <c r="I42" s="73"/>
      <c r="J42" s="130"/>
      <c r="K42" s="131"/>
    </row>
    <row r="43" spans="1:11" ht="20.25" customHeight="1">
      <c r="A43" s="149"/>
      <c r="B43" s="98"/>
      <c r="C43" s="98"/>
      <c r="D43" s="98"/>
      <c r="E43" s="15" t="s">
        <v>50</v>
      </c>
      <c r="F43" s="158"/>
      <c r="G43" s="43">
        <f t="shared" si="6"/>
        <v>26.666666666666668</v>
      </c>
      <c r="H43" s="16">
        <v>16</v>
      </c>
      <c r="I43" s="73"/>
      <c r="J43" s="130"/>
      <c r="K43" s="131"/>
    </row>
    <row r="44" spans="1:11" ht="20.25" customHeight="1">
      <c r="A44" s="149"/>
      <c r="B44" s="98"/>
      <c r="C44" s="98"/>
      <c r="D44" s="98"/>
      <c r="E44" s="15" t="s">
        <v>51</v>
      </c>
      <c r="F44" s="158"/>
      <c r="G44" s="43">
        <f t="shared" si="6"/>
        <v>16.666666666666664</v>
      </c>
      <c r="H44" s="16">
        <v>10</v>
      </c>
      <c r="I44" s="73"/>
      <c r="J44" s="130"/>
      <c r="K44" s="131"/>
    </row>
    <row r="45" spans="1:11" ht="20.25" customHeight="1">
      <c r="A45" s="149"/>
      <c r="B45" s="98"/>
      <c r="C45" s="98"/>
      <c r="D45" s="98"/>
      <c r="E45" s="15" t="s">
        <v>52</v>
      </c>
      <c r="F45" s="158"/>
      <c r="G45" s="43">
        <f t="shared" si="6"/>
        <v>25</v>
      </c>
      <c r="H45" s="16">
        <v>15</v>
      </c>
      <c r="I45" s="73"/>
      <c r="J45" s="130"/>
      <c r="K45" s="131"/>
    </row>
    <row r="46" spans="1:11" ht="20.25" customHeight="1">
      <c r="A46" s="149"/>
      <c r="B46" s="98"/>
      <c r="C46" s="98"/>
      <c r="D46" s="98"/>
      <c r="E46" s="15" t="s">
        <v>87</v>
      </c>
      <c r="F46" s="158"/>
      <c r="G46" s="43">
        <f t="shared" si="6"/>
        <v>16.666666666666664</v>
      </c>
      <c r="H46" s="16">
        <v>10</v>
      </c>
      <c r="I46" s="73"/>
      <c r="J46" s="130"/>
      <c r="K46" s="131"/>
    </row>
    <row r="47" spans="1:11" ht="20.25" customHeight="1">
      <c r="A47" s="149"/>
      <c r="B47" s="98"/>
      <c r="C47" s="98"/>
      <c r="D47" s="98"/>
      <c r="E47" s="29" t="s">
        <v>53</v>
      </c>
      <c r="F47" s="158"/>
      <c r="G47" s="43">
        <f t="shared" si="6"/>
        <v>16.666666666666664</v>
      </c>
      <c r="H47" s="9">
        <v>10</v>
      </c>
      <c r="I47" s="35"/>
      <c r="J47" s="130"/>
      <c r="K47" s="131"/>
    </row>
    <row r="48" spans="1:11" ht="20.25" customHeight="1" thickBot="1">
      <c r="A48" s="149"/>
      <c r="B48" s="98"/>
      <c r="C48" s="98"/>
      <c r="D48" s="98"/>
      <c r="E48" s="29" t="s">
        <v>54</v>
      </c>
      <c r="F48" s="158"/>
      <c r="G48" s="43">
        <f t="shared" si="6"/>
        <v>25</v>
      </c>
      <c r="H48" s="9">
        <v>15</v>
      </c>
      <c r="I48" s="44"/>
      <c r="J48" s="140"/>
      <c r="K48" s="159"/>
    </row>
    <row r="49" spans="1:11" ht="20.25" customHeight="1">
      <c r="A49" s="149"/>
      <c r="B49" s="107" t="s">
        <v>55</v>
      </c>
      <c r="C49" s="98"/>
      <c r="D49" s="98"/>
      <c r="E49" s="18" t="s">
        <v>10</v>
      </c>
      <c r="F49" s="11" t="s">
        <v>25</v>
      </c>
      <c r="G49" s="11" t="s">
        <v>12</v>
      </c>
      <c r="H49" s="11" t="s">
        <v>13</v>
      </c>
      <c r="I49" s="45"/>
      <c r="J49" s="151" t="s">
        <v>21</v>
      </c>
      <c r="K49" s="152"/>
    </row>
    <row r="50" spans="1:11" ht="20.25" customHeight="1">
      <c r="A50" s="149"/>
      <c r="B50" s="107"/>
      <c r="C50" s="98"/>
      <c r="D50" s="98"/>
      <c r="E50" s="46" t="s">
        <v>56</v>
      </c>
      <c r="F50" s="153">
        <v>0.08</v>
      </c>
      <c r="G50" s="27">
        <f>H50/60*100</f>
        <v>10</v>
      </c>
      <c r="H50" s="27">
        <v>6</v>
      </c>
      <c r="I50" s="74"/>
      <c r="J50" s="137" t="s">
        <v>82</v>
      </c>
      <c r="K50" s="129"/>
    </row>
    <row r="51" spans="1:11" ht="16">
      <c r="A51" s="149"/>
      <c r="B51" s="107"/>
      <c r="C51" s="98"/>
      <c r="D51" s="98"/>
      <c r="E51" s="46" t="s">
        <v>88</v>
      </c>
      <c r="F51" s="154"/>
      <c r="G51" s="47"/>
      <c r="H51" s="27" t="s">
        <v>90</v>
      </c>
      <c r="I51" s="75"/>
      <c r="J51" s="130"/>
      <c r="K51" s="131"/>
    </row>
    <row r="52" spans="1:11" ht="20.25" customHeight="1" thickBot="1">
      <c r="A52" s="149"/>
      <c r="B52" s="107"/>
      <c r="C52" s="98"/>
      <c r="D52" s="98"/>
      <c r="E52" s="46" t="s">
        <v>89</v>
      </c>
      <c r="F52" s="154"/>
      <c r="G52" s="47"/>
      <c r="H52" s="27" t="s">
        <v>91</v>
      </c>
      <c r="I52" s="75"/>
      <c r="J52" s="130"/>
      <c r="K52" s="131"/>
    </row>
    <row r="53" spans="1:11" ht="20.25" customHeight="1">
      <c r="A53" s="109" t="s">
        <v>57</v>
      </c>
      <c r="B53" s="114" t="s">
        <v>81</v>
      </c>
      <c r="C53" s="114" t="s">
        <v>110</v>
      </c>
      <c r="D53" s="114" t="s">
        <v>58</v>
      </c>
      <c r="E53" s="10" t="s">
        <v>10</v>
      </c>
      <c r="F53" s="19" t="s">
        <v>25</v>
      </c>
      <c r="G53" s="19" t="s">
        <v>12</v>
      </c>
      <c r="H53" s="19" t="s">
        <v>84</v>
      </c>
      <c r="I53" s="19"/>
      <c r="J53" s="19" t="s">
        <v>21</v>
      </c>
      <c r="K53" s="48"/>
    </row>
    <row r="54" spans="1:11" ht="20.25" customHeight="1">
      <c r="A54" s="110"/>
      <c r="B54" s="107"/>
      <c r="C54" s="107"/>
      <c r="D54" s="107"/>
      <c r="E54" s="15" t="s">
        <v>59</v>
      </c>
      <c r="F54" s="123">
        <v>0.08</v>
      </c>
      <c r="G54" s="9">
        <v>17</v>
      </c>
      <c r="H54" s="9">
        <f>G54*60/100</f>
        <v>10.199999999999999</v>
      </c>
      <c r="I54" s="9"/>
      <c r="J54" s="9" t="s">
        <v>60</v>
      </c>
      <c r="K54" s="26"/>
    </row>
    <row r="55" spans="1:11" ht="20.25" customHeight="1">
      <c r="A55" s="110"/>
      <c r="B55" s="107"/>
      <c r="C55" s="107"/>
      <c r="D55" s="107"/>
      <c r="E55" s="15" t="s">
        <v>61</v>
      </c>
      <c r="F55" s="123"/>
      <c r="G55" s="49">
        <f>H55/60*100</f>
        <v>25</v>
      </c>
      <c r="H55" s="9">
        <v>15</v>
      </c>
      <c r="I55" s="9"/>
      <c r="J55" s="16" t="s">
        <v>62</v>
      </c>
      <c r="K55" s="26"/>
    </row>
    <row r="56" spans="1:11" ht="20.25" customHeight="1">
      <c r="A56" s="110"/>
      <c r="B56" s="107"/>
      <c r="C56" s="107"/>
      <c r="D56" s="107"/>
      <c r="E56" s="15" t="s">
        <v>63</v>
      </c>
      <c r="F56" s="123"/>
      <c r="G56" s="9">
        <v>10</v>
      </c>
      <c r="H56" s="9">
        <f>G56*60/100</f>
        <v>6</v>
      </c>
      <c r="I56" s="9"/>
      <c r="J56" s="9" t="s">
        <v>64</v>
      </c>
      <c r="K56" s="26"/>
    </row>
    <row r="57" spans="1:11" ht="20.25" customHeight="1">
      <c r="A57" s="110"/>
      <c r="B57" s="107" t="s">
        <v>65</v>
      </c>
      <c r="C57" s="107" t="s">
        <v>102</v>
      </c>
      <c r="D57" s="107">
        <v>40007</v>
      </c>
      <c r="E57" s="155" t="s">
        <v>66</v>
      </c>
      <c r="F57" s="146"/>
      <c r="G57" s="146"/>
      <c r="H57" s="146"/>
      <c r="I57" s="50"/>
      <c r="J57" s="146" t="s">
        <v>21</v>
      </c>
      <c r="K57" s="26"/>
    </row>
    <row r="58" spans="1:11" ht="20.25" customHeight="1">
      <c r="A58" s="110"/>
      <c r="B58" s="107"/>
      <c r="C58" s="107"/>
      <c r="D58" s="107"/>
      <c r="E58" s="10" t="s">
        <v>10</v>
      </c>
      <c r="F58" s="11" t="s">
        <v>25</v>
      </c>
      <c r="G58" s="11" t="s">
        <v>12</v>
      </c>
      <c r="H58" s="11" t="s">
        <v>13</v>
      </c>
      <c r="I58" s="11"/>
      <c r="J58" s="146"/>
      <c r="K58" s="26"/>
    </row>
    <row r="59" spans="1:11" ht="20.25" customHeight="1">
      <c r="A59" s="110"/>
      <c r="B59" s="107"/>
      <c r="C59" s="107"/>
      <c r="D59" s="107"/>
      <c r="E59" s="51" t="s">
        <v>67</v>
      </c>
      <c r="F59" s="147">
        <v>0.17</v>
      </c>
      <c r="G59" s="9">
        <f>H59/60*100</f>
        <v>10</v>
      </c>
      <c r="H59" s="9">
        <v>6</v>
      </c>
      <c r="I59" s="9"/>
      <c r="J59" s="107" t="s">
        <v>111</v>
      </c>
      <c r="K59" s="26"/>
    </row>
    <row r="60" spans="1:11" ht="20.25" customHeight="1">
      <c r="A60" s="110"/>
      <c r="B60" s="107"/>
      <c r="C60" s="107"/>
      <c r="D60" s="107"/>
      <c r="E60" s="15" t="s">
        <v>68</v>
      </c>
      <c r="F60" s="147"/>
      <c r="G60" s="9">
        <f t="shared" ref="G60:G63" si="7">H60/60*100</f>
        <v>15</v>
      </c>
      <c r="H60" s="9">
        <v>9</v>
      </c>
      <c r="I60" s="9"/>
      <c r="J60" s="107"/>
      <c r="K60" s="26"/>
    </row>
    <row r="61" spans="1:11" ht="20.25" customHeight="1">
      <c r="A61" s="110"/>
      <c r="B61" s="107"/>
      <c r="C61" s="107"/>
      <c r="D61" s="107"/>
      <c r="E61" s="15" t="s">
        <v>15</v>
      </c>
      <c r="F61" s="147"/>
      <c r="G61" s="9">
        <f t="shared" si="7"/>
        <v>20</v>
      </c>
      <c r="H61" s="9">
        <v>12</v>
      </c>
      <c r="I61" s="9"/>
      <c r="J61" s="107"/>
      <c r="K61" s="26"/>
    </row>
    <row r="62" spans="1:11" ht="20.25" customHeight="1">
      <c r="A62" s="110"/>
      <c r="B62" s="107"/>
      <c r="C62" s="107"/>
      <c r="D62" s="107"/>
      <c r="E62" s="15" t="s">
        <v>16</v>
      </c>
      <c r="F62" s="147"/>
      <c r="G62" s="9">
        <f t="shared" si="7"/>
        <v>30</v>
      </c>
      <c r="H62" s="9">
        <v>18</v>
      </c>
      <c r="I62" s="9"/>
      <c r="J62" s="107"/>
      <c r="K62" s="26"/>
    </row>
    <row r="63" spans="1:11" ht="20.25" customHeight="1">
      <c r="A63" s="110"/>
      <c r="B63" s="107"/>
      <c r="C63" s="107"/>
      <c r="D63" s="107"/>
      <c r="E63" s="15" t="s">
        <v>17</v>
      </c>
      <c r="F63" s="147"/>
      <c r="G63" s="9">
        <f t="shared" si="7"/>
        <v>40</v>
      </c>
      <c r="H63" s="9">
        <v>24</v>
      </c>
      <c r="I63" s="9"/>
      <c r="J63" s="107"/>
      <c r="K63" s="26"/>
    </row>
    <row r="64" spans="1:11" ht="20.25" customHeight="1">
      <c r="A64" s="110"/>
      <c r="B64" s="107"/>
      <c r="C64" s="107"/>
      <c r="D64" s="107"/>
      <c r="E64" s="146" t="s">
        <v>69</v>
      </c>
      <c r="F64" s="146"/>
      <c r="G64" s="146"/>
      <c r="H64" s="146"/>
      <c r="I64" s="50"/>
      <c r="J64" s="107"/>
      <c r="K64" s="26"/>
    </row>
    <row r="65" spans="1:14" ht="20.25" customHeight="1">
      <c r="A65" s="110"/>
      <c r="B65" s="107"/>
      <c r="C65" s="107"/>
      <c r="D65" s="107"/>
      <c r="E65" s="10" t="s">
        <v>10</v>
      </c>
      <c r="F65" s="11" t="s">
        <v>25</v>
      </c>
      <c r="G65" s="11" t="s">
        <v>12</v>
      </c>
      <c r="H65" s="11" t="s">
        <v>13</v>
      </c>
      <c r="I65" s="11"/>
      <c r="J65" s="107"/>
      <c r="K65" s="26"/>
    </row>
    <row r="66" spans="1:14" ht="20.25" customHeight="1">
      <c r="A66" s="110"/>
      <c r="B66" s="107"/>
      <c r="C66" s="107"/>
      <c r="D66" s="107"/>
      <c r="E66" s="51" t="s">
        <v>67</v>
      </c>
      <c r="F66" s="98">
        <v>0.17</v>
      </c>
      <c r="G66" s="9">
        <f>H66/60*100</f>
        <v>25</v>
      </c>
      <c r="H66" s="9">
        <v>15</v>
      </c>
      <c r="I66" s="9"/>
      <c r="J66" s="107"/>
      <c r="K66" s="26"/>
    </row>
    <row r="67" spans="1:14" ht="20.25" customHeight="1">
      <c r="A67" s="110"/>
      <c r="B67" s="107"/>
      <c r="C67" s="107"/>
      <c r="D67" s="107"/>
      <c r="E67" s="15" t="s">
        <v>68</v>
      </c>
      <c r="F67" s="98"/>
      <c r="G67" s="9">
        <f t="shared" ref="G67:G70" si="8">H67/60*100</f>
        <v>35</v>
      </c>
      <c r="H67" s="9">
        <v>21</v>
      </c>
      <c r="I67" s="9"/>
      <c r="J67" s="107"/>
      <c r="K67" s="26"/>
    </row>
    <row r="68" spans="1:14" ht="20.25" customHeight="1">
      <c r="A68" s="110"/>
      <c r="B68" s="107"/>
      <c r="C68" s="107"/>
      <c r="D68" s="107"/>
      <c r="E68" s="29" t="s">
        <v>70</v>
      </c>
      <c r="F68" s="98"/>
      <c r="G68" s="9">
        <f t="shared" si="8"/>
        <v>45</v>
      </c>
      <c r="H68" s="9">
        <v>27</v>
      </c>
      <c r="I68" s="9"/>
      <c r="J68" s="107"/>
      <c r="K68" s="26"/>
    </row>
    <row r="69" spans="1:14" ht="20.25" customHeight="1">
      <c r="A69" s="110"/>
      <c r="B69" s="107"/>
      <c r="C69" s="107"/>
      <c r="D69" s="107"/>
      <c r="E69" s="29" t="s">
        <v>71</v>
      </c>
      <c r="F69" s="98"/>
      <c r="G69" s="9">
        <f t="shared" si="8"/>
        <v>55.000000000000007</v>
      </c>
      <c r="H69" s="9">
        <v>33</v>
      </c>
      <c r="I69" s="9"/>
      <c r="J69" s="107"/>
      <c r="K69" s="26"/>
    </row>
    <row r="70" spans="1:14" ht="20.25" customHeight="1" thickBot="1">
      <c r="A70" s="111"/>
      <c r="B70" s="108"/>
      <c r="C70" s="108"/>
      <c r="D70" s="108"/>
      <c r="E70" s="52" t="s">
        <v>72</v>
      </c>
      <c r="F70" s="99"/>
      <c r="G70" s="9">
        <f t="shared" si="8"/>
        <v>65</v>
      </c>
      <c r="H70" s="23">
        <v>39</v>
      </c>
      <c r="I70" s="23"/>
      <c r="J70" s="108"/>
      <c r="K70" s="53"/>
    </row>
    <row r="71" spans="1:14" ht="20.25" customHeight="1">
      <c r="A71" s="148" t="s">
        <v>73</v>
      </c>
      <c r="B71" s="114" t="s">
        <v>74</v>
      </c>
      <c r="C71" s="97" t="s">
        <v>102</v>
      </c>
      <c r="D71" s="97">
        <v>40007</v>
      </c>
      <c r="E71" s="10" t="s">
        <v>10</v>
      </c>
      <c r="F71" s="19" t="s">
        <v>25</v>
      </c>
      <c r="G71" s="19" t="s">
        <v>12</v>
      </c>
      <c r="H71" s="19" t="s">
        <v>13</v>
      </c>
      <c r="I71" s="19"/>
      <c r="J71" s="19" t="s">
        <v>21</v>
      </c>
      <c r="K71" s="48"/>
    </row>
    <row r="72" spans="1:14" ht="20.25" customHeight="1">
      <c r="A72" s="149"/>
      <c r="B72" s="98"/>
      <c r="C72" s="98"/>
      <c r="D72" s="98"/>
      <c r="E72" s="15" t="s">
        <v>14</v>
      </c>
      <c r="F72" s="123">
        <v>0.08</v>
      </c>
      <c r="G72" s="9">
        <v>10</v>
      </c>
      <c r="H72" s="9">
        <f>G72*60/100</f>
        <v>6</v>
      </c>
      <c r="I72" s="17"/>
      <c r="J72" s="112" t="s">
        <v>75</v>
      </c>
      <c r="K72" s="54"/>
      <c r="L72" s="144" t="s">
        <v>76</v>
      </c>
      <c r="M72" s="11" t="s">
        <v>25</v>
      </c>
      <c r="N72" s="11" t="s">
        <v>12</v>
      </c>
    </row>
    <row r="73" spans="1:14" ht="20.25" customHeight="1">
      <c r="A73" s="149"/>
      <c r="B73" s="98"/>
      <c r="C73" s="98"/>
      <c r="D73" s="98"/>
      <c r="E73" s="15" t="s">
        <v>15</v>
      </c>
      <c r="F73" s="123"/>
      <c r="G73" s="9">
        <v>15</v>
      </c>
      <c r="H73" s="9">
        <f t="shared" ref="H73:H75" si="9">G73*60/100</f>
        <v>9</v>
      </c>
      <c r="I73" s="28"/>
      <c r="J73" s="104"/>
      <c r="K73" s="54"/>
      <c r="L73" s="144"/>
      <c r="M73" s="9">
        <f>2/60</f>
        <v>3.3333333333333333E-2</v>
      </c>
      <c r="N73" s="9">
        <f>30*100/60</f>
        <v>50</v>
      </c>
    </row>
    <row r="74" spans="1:14" ht="20.25" customHeight="1">
      <c r="A74" s="149"/>
      <c r="B74" s="98"/>
      <c r="C74" s="98"/>
      <c r="D74" s="98"/>
      <c r="E74" s="15" t="s">
        <v>16</v>
      </c>
      <c r="F74" s="123"/>
      <c r="G74" s="9">
        <v>20</v>
      </c>
      <c r="H74" s="9">
        <f t="shared" si="9"/>
        <v>12</v>
      </c>
      <c r="I74" s="28"/>
      <c r="J74" s="104"/>
      <c r="K74" s="26"/>
    </row>
    <row r="75" spans="1:14" ht="20.25" customHeight="1" thickBot="1">
      <c r="A75" s="150"/>
      <c r="B75" s="99"/>
      <c r="C75" s="99"/>
      <c r="D75" s="99"/>
      <c r="E75" s="24" t="s">
        <v>17</v>
      </c>
      <c r="F75" s="124"/>
      <c r="G75" s="23">
        <v>25</v>
      </c>
      <c r="H75" s="23">
        <f t="shared" si="9"/>
        <v>15</v>
      </c>
      <c r="I75" s="41"/>
      <c r="J75" s="106"/>
      <c r="K75" s="53"/>
    </row>
    <row r="76" spans="1:14" ht="20.25" customHeight="1">
      <c r="A76" s="55" t="s">
        <v>77</v>
      </c>
      <c r="B76" s="56"/>
      <c r="C76" s="56"/>
      <c r="D76" s="56"/>
      <c r="E76" s="57"/>
      <c r="F76" s="58"/>
      <c r="G76" s="58"/>
      <c r="H76" s="58"/>
      <c r="I76" s="58"/>
      <c r="J76" s="58"/>
      <c r="K76" s="59"/>
    </row>
    <row r="77" spans="1:14" ht="20.25" customHeight="1">
      <c r="A77" s="60"/>
      <c r="B77" s="61" t="s">
        <v>78</v>
      </c>
      <c r="F77" s="61" t="s">
        <v>79</v>
      </c>
      <c r="J77" s="63" t="s">
        <v>80</v>
      </c>
      <c r="K77" s="36"/>
    </row>
    <row r="78" spans="1:14" ht="20.25" customHeight="1">
      <c r="A78" s="60"/>
      <c r="K78" s="36"/>
    </row>
    <row r="79" spans="1:14" ht="20.25" customHeight="1" thickBot="1">
      <c r="A79" s="64"/>
      <c r="B79" s="65"/>
      <c r="C79" s="65"/>
      <c r="D79" s="65"/>
      <c r="E79" s="66"/>
      <c r="F79" s="67"/>
      <c r="G79" s="67"/>
      <c r="H79" s="67"/>
      <c r="I79" s="67"/>
      <c r="J79" s="67"/>
      <c r="K79" s="37"/>
    </row>
  </sheetData>
  <mergeCells count="76">
    <mergeCell ref="A1:H2"/>
    <mergeCell ref="E3:H3"/>
    <mergeCell ref="J3:K3"/>
    <mergeCell ref="B4:B9"/>
    <mergeCell ref="D4:D9"/>
    <mergeCell ref="F5:F9"/>
    <mergeCell ref="J5:J9"/>
    <mergeCell ref="K5:K9"/>
    <mergeCell ref="A11:A13"/>
    <mergeCell ref="B11:B13"/>
    <mergeCell ref="D11:D13"/>
    <mergeCell ref="K11:K13"/>
    <mergeCell ref="F12:F13"/>
    <mergeCell ref="C11:C13"/>
    <mergeCell ref="F50:F52"/>
    <mergeCell ref="J50:K52"/>
    <mergeCell ref="A53:A70"/>
    <mergeCell ref="B53:B56"/>
    <mergeCell ref="D53:D56"/>
    <mergeCell ref="F54:F56"/>
    <mergeCell ref="B57:B70"/>
    <mergeCell ref="D57:D70"/>
    <mergeCell ref="E57:H57"/>
    <mergeCell ref="A37:A52"/>
    <mergeCell ref="B37:B48"/>
    <mergeCell ref="D37:D52"/>
    <mergeCell ref="J37:K37"/>
    <mergeCell ref="F38:F48"/>
    <mergeCell ref="J38:K48"/>
    <mergeCell ref="B49:B52"/>
    <mergeCell ref="L72:L73"/>
    <mergeCell ref="D22:D26"/>
    <mergeCell ref="D27:D31"/>
    <mergeCell ref="A4:A10"/>
    <mergeCell ref="D20:D21"/>
    <mergeCell ref="J57:J58"/>
    <mergeCell ref="F59:F63"/>
    <mergeCell ref="J59:J70"/>
    <mergeCell ref="E64:H64"/>
    <mergeCell ref="F66:F70"/>
    <mergeCell ref="A71:A75"/>
    <mergeCell ref="B71:B75"/>
    <mergeCell ref="D71:D75"/>
    <mergeCell ref="F72:F75"/>
    <mergeCell ref="J72:J75"/>
    <mergeCell ref="J49:K49"/>
    <mergeCell ref="D16:D17"/>
    <mergeCell ref="D32:D36"/>
    <mergeCell ref="F33:F36"/>
    <mergeCell ref="J33:J36"/>
    <mergeCell ref="C14:C15"/>
    <mergeCell ref="C16:C17"/>
    <mergeCell ref="J23:J26"/>
    <mergeCell ref="F28:F31"/>
    <mergeCell ref="J28:J31"/>
    <mergeCell ref="J18:K18"/>
    <mergeCell ref="F19:F21"/>
    <mergeCell ref="J19:K21"/>
    <mergeCell ref="K22:K31"/>
    <mergeCell ref="F23:F26"/>
    <mergeCell ref="J15:K17"/>
    <mergeCell ref="J14:K14"/>
    <mergeCell ref="A22:A36"/>
    <mergeCell ref="B14:B17"/>
    <mergeCell ref="C22:C26"/>
    <mergeCell ref="C37:C52"/>
    <mergeCell ref="C53:C56"/>
    <mergeCell ref="A18:A21"/>
    <mergeCell ref="B18:B21"/>
    <mergeCell ref="A14:A17"/>
    <mergeCell ref="C71:C75"/>
    <mergeCell ref="C4:C10"/>
    <mergeCell ref="C18:C21"/>
    <mergeCell ref="C27:C36"/>
    <mergeCell ref="B22:B36"/>
    <mergeCell ref="C57:C70"/>
  </mergeCells>
  <phoneticPr fontId="2" type="noConversion"/>
  <pageMargins left="0.7" right="0.7" top="0.75" bottom="0.75" header="0.3" footer="0.3"/>
  <headerFooter>
    <oddFooter>&amp;C_x000D_&amp;1#&amp;"Aptos"&amp;10&amp;K000000 INTERNAL / BUSINESS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B414-F519-41AA-B039-75BE4420D35F}">
  <dimension ref="A1:K25"/>
  <sheetViews>
    <sheetView tabSelected="1" zoomScale="159" zoomScaleNormal="80" workbookViewId="0">
      <selection sqref="A1:I2"/>
    </sheetView>
  </sheetViews>
  <sheetFormatPr baseColWidth="10" defaultColWidth="8.33203125" defaultRowHeight="20.25" customHeight="1"/>
  <cols>
    <col min="1" max="1" width="9.1640625" style="81" customWidth="1"/>
    <col min="2" max="2" width="38.5" style="63" bestFit="1" customWidth="1"/>
    <col min="3" max="3" width="20.83203125" style="63" bestFit="1" customWidth="1"/>
    <col min="4" max="4" width="20.83203125" style="63" hidden="1" customWidth="1"/>
    <col min="5" max="5" width="15" style="63" customWidth="1"/>
    <col min="6" max="6" width="36.33203125" style="62" customWidth="1"/>
    <col min="7" max="7" width="16.5" style="63" customWidth="1"/>
    <col min="8" max="8" width="20.1640625" style="63" hidden="1" customWidth="1"/>
    <col min="9" max="9" width="36.83203125" style="63" customWidth="1"/>
    <col min="10" max="10" width="34.1640625" style="62" customWidth="1"/>
    <col min="11" max="11" width="20.1640625" style="79" customWidth="1"/>
    <col min="12" max="12" width="20.33203125" style="80" customWidth="1"/>
    <col min="13" max="13" width="8.33203125" style="80"/>
    <col min="14" max="14" width="16" style="80" customWidth="1"/>
    <col min="15" max="16384" width="8.33203125" style="80"/>
  </cols>
  <sheetData>
    <row r="1" spans="1:10" ht="20.25" customHeight="1">
      <c r="A1" s="164" t="s">
        <v>120</v>
      </c>
      <c r="B1" s="165"/>
      <c r="C1" s="165"/>
      <c r="D1" s="165"/>
      <c r="E1" s="165"/>
      <c r="F1" s="165"/>
      <c r="G1" s="165"/>
      <c r="H1" s="165"/>
      <c r="I1" s="166"/>
      <c r="J1" s="84"/>
    </row>
    <row r="2" spans="1:10" ht="48" customHeight="1">
      <c r="A2" s="167"/>
      <c r="B2" s="168"/>
      <c r="C2" s="168"/>
      <c r="D2" s="168"/>
      <c r="E2" s="168"/>
      <c r="F2" s="168"/>
      <c r="G2" s="168"/>
      <c r="H2" s="168"/>
      <c r="I2" s="169"/>
      <c r="J2" s="85"/>
    </row>
    <row r="3" spans="1:10" ht="20.25" customHeight="1">
      <c r="A3" s="76" t="s">
        <v>5</v>
      </c>
      <c r="B3" s="78" t="s">
        <v>6</v>
      </c>
      <c r="C3" s="50" t="s">
        <v>7</v>
      </c>
      <c r="D3" s="50" t="s">
        <v>167</v>
      </c>
      <c r="E3" s="50" t="s">
        <v>167</v>
      </c>
      <c r="F3" s="10" t="s">
        <v>113</v>
      </c>
      <c r="G3" s="11" t="s">
        <v>112</v>
      </c>
      <c r="H3" s="11" t="s">
        <v>12</v>
      </c>
      <c r="I3" s="11" t="s">
        <v>13</v>
      </c>
      <c r="J3" s="86" t="s">
        <v>95</v>
      </c>
    </row>
    <row r="4" spans="1:10" ht="20.25" customHeight="1">
      <c r="A4" s="181" t="s">
        <v>127</v>
      </c>
      <c r="B4" s="137" t="s">
        <v>123</v>
      </c>
      <c r="C4" s="9" t="s">
        <v>119</v>
      </c>
      <c r="D4" s="42"/>
      <c r="E4" s="9">
        <v>1.76</v>
      </c>
      <c r="F4" s="184" t="s">
        <v>124</v>
      </c>
      <c r="G4" s="98">
        <v>10</v>
      </c>
      <c r="H4" s="9"/>
      <c r="I4" s="95" t="s">
        <v>168</v>
      </c>
      <c r="J4" s="29"/>
    </row>
    <row r="5" spans="1:10" ht="20.25" customHeight="1">
      <c r="A5" s="182"/>
      <c r="B5" s="140"/>
      <c r="C5" s="9" t="s">
        <v>172</v>
      </c>
      <c r="D5" s="44"/>
      <c r="E5" s="9">
        <v>1.94</v>
      </c>
      <c r="F5" s="185"/>
      <c r="G5" s="98"/>
      <c r="H5" s="9"/>
      <c r="I5" s="95" t="s">
        <v>146</v>
      </c>
      <c r="J5" s="29"/>
    </row>
    <row r="6" spans="1:10" ht="30.5" customHeight="1">
      <c r="A6" s="77" t="s">
        <v>128</v>
      </c>
      <c r="B6" s="54" t="s">
        <v>122</v>
      </c>
      <c r="C6" s="8" t="s">
        <v>173</v>
      </c>
      <c r="D6" s="54"/>
      <c r="E6" s="8" t="s">
        <v>174</v>
      </c>
      <c r="F6" s="87" t="s">
        <v>125</v>
      </c>
      <c r="G6" s="9">
        <v>5</v>
      </c>
      <c r="H6" s="9"/>
      <c r="I6" s="95" t="s">
        <v>145</v>
      </c>
      <c r="J6" s="29"/>
    </row>
    <row r="7" spans="1:10" ht="34">
      <c r="A7" s="77" t="s">
        <v>129</v>
      </c>
      <c r="B7" s="82" t="s">
        <v>188</v>
      </c>
      <c r="C7" s="8" t="s">
        <v>176</v>
      </c>
      <c r="D7" s="54"/>
      <c r="E7" s="8" t="s">
        <v>177</v>
      </c>
      <c r="F7" s="87" t="s">
        <v>126</v>
      </c>
      <c r="G7" s="98">
        <v>10</v>
      </c>
      <c r="H7" s="9"/>
      <c r="I7" s="9" t="s">
        <v>187</v>
      </c>
      <c r="J7" s="83" t="s">
        <v>189</v>
      </c>
    </row>
    <row r="8" spans="1:10" ht="30" customHeight="1">
      <c r="A8" s="181" t="s">
        <v>130</v>
      </c>
      <c r="B8" s="54" t="s">
        <v>116</v>
      </c>
      <c r="C8" s="8" t="s">
        <v>176</v>
      </c>
      <c r="D8" s="54"/>
      <c r="E8" s="8" t="s">
        <v>177</v>
      </c>
      <c r="F8" s="87" t="s">
        <v>121</v>
      </c>
      <c r="G8" s="98"/>
      <c r="H8" s="9"/>
      <c r="I8" s="9" t="s">
        <v>144</v>
      </c>
      <c r="J8" s="175" t="s">
        <v>164</v>
      </c>
    </row>
    <row r="9" spans="1:10" ht="34" customHeight="1">
      <c r="A9" s="182"/>
      <c r="B9" s="54" t="s">
        <v>114</v>
      </c>
      <c r="C9" s="8" t="s">
        <v>180</v>
      </c>
      <c r="D9" s="54"/>
      <c r="E9" s="8" t="s">
        <v>178</v>
      </c>
      <c r="F9" s="87" t="s">
        <v>143</v>
      </c>
      <c r="G9" s="9">
        <v>10</v>
      </c>
      <c r="H9" s="9"/>
      <c r="I9" s="9">
        <v>22</v>
      </c>
      <c r="J9" s="177"/>
    </row>
    <row r="10" spans="1:10" ht="20.25" customHeight="1">
      <c r="A10" s="181" t="s">
        <v>131</v>
      </c>
      <c r="B10" s="100" t="s">
        <v>147</v>
      </c>
      <c r="C10" s="112" t="s">
        <v>181</v>
      </c>
      <c r="D10" s="42"/>
      <c r="E10" s="107" t="s">
        <v>179</v>
      </c>
      <c r="F10" s="88" t="s">
        <v>141</v>
      </c>
      <c r="G10" s="100">
        <v>0</v>
      </c>
      <c r="H10" s="9"/>
      <c r="I10" s="9">
        <v>2.7</v>
      </c>
      <c r="J10" s="175" t="s">
        <v>164</v>
      </c>
    </row>
    <row r="11" spans="1:10" ht="20.25" customHeight="1">
      <c r="A11" s="182"/>
      <c r="B11" s="113"/>
      <c r="C11" s="113"/>
      <c r="D11" s="44"/>
      <c r="E11" s="98"/>
      <c r="F11" s="88" t="s">
        <v>142</v>
      </c>
      <c r="G11" s="113"/>
      <c r="H11" s="9"/>
      <c r="I11" s="9">
        <v>4.8</v>
      </c>
      <c r="J11" s="177"/>
    </row>
    <row r="12" spans="1:10" ht="31.5" customHeight="1">
      <c r="A12" s="77" t="s">
        <v>132</v>
      </c>
      <c r="B12" s="91" t="s">
        <v>169</v>
      </c>
      <c r="C12" s="92" t="s">
        <v>182</v>
      </c>
      <c r="D12" s="93"/>
      <c r="E12" s="92" t="s">
        <v>183</v>
      </c>
      <c r="F12" s="94" t="s">
        <v>170</v>
      </c>
      <c r="G12" s="95">
        <v>10</v>
      </c>
      <c r="H12" s="95"/>
      <c r="I12" s="92" t="s">
        <v>186</v>
      </c>
      <c r="J12" s="29" t="s">
        <v>164</v>
      </c>
    </row>
    <row r="13" spans="1:10" ht="20.25" customHeight="1">
      <c r="A13" s="181" t="s">
        <v>133</v>
      </c>
      <c r="B13" s="137" t="s">
        <v>135</v>
      </c>
      <c r="C13" s="112" t="s">
        <v>176</v>
      </c>
      <c r="D13" s="42"/>
      <c r="E13" s="107" t="s">
        <v>177</v>
      </c>
      <c r="F13" s="96" t="s">
        <v>148</v>
      </c>
      <c r="G13" s="100">
        <v>5</v>
      </c>
      <c r="H13" s="9"/>
      <c r="I13" s="9">
        <v>12</v>
      </c>
      <c r="J13" s="175" t="s">
        <v>159</v>
      </c>
    </row>
    <row r="14" spans="1:10" ht="20.25" customHeight="1">
      <c r="A14" s="183"/>
      <c r="B14" s="130"/>
      <c r="C14" s="101"/>
      <c r="D14" s="35"/>
      <c r="E14" s="98"/>
      <c r="F14" s="96" t="s">
        <v>149</v>
      </c>
      <c r="G14" s="101"/>
      <c r="H14" s="9"/>
      <c r="I14" s="9">
        <v>8</v>
      </c>
      <c r="J14" s="176"/>
    </row>
    <row r="15" spans="1:10" ht="20.25" customHeight="1">
      <c r="A15" s="183"/>
      <c r="B15" s="130"/>
      <c r="C15" s="101"/>
      <c r="D15" s="35"/>
      <c r="E15" s="98"/>
      <c r="F15" s="96" t="s">
        <v>150</v>
      </c>
      <c r="G15" s="101"/>
      <c r="H15" s="9"/>
      <c r="I15" s="9">
        <v>13</v>
      </c>
      <c r="J15" s="176"/>
    </row>
    <row r="16" spans="1:10" ht="20.25" customHeight="1">
      <c r="A16" s="183"/>
      <c r="B16" s="130"/>
      <c r="C16" s="101"/>
      <c r="D16" s="35"/>
      <c r="E16" s="98"/>
      <c r="F16" s="96" t="s">
        <v>151</v>
      </c>
      <c r="G16" s="101"/>
      <c r="H16" s="9"/>
      <c r="I16" s="9">
        <v>3</v>
      </c>
      <c r="J16" s="176"/>
    </row>
    <row r="17" spans="1:10" ht="20.25" customHeight="1">
      <c r="A17" s="183"/>
      <c r="B17" s="130"/>
      <c r="C17" s="101"/>
      <c r="D17" s="35"/>
      <c r="E17" s="98"/>
      <c r="F17" s="96" t="s">
        <v>152</v>
      </c>
      <c r="G17" s="101"/>
      <c r="H17" s="9"/>
      <c r="I17" s="9">
        <v>12</v>
      </c>
      <c r="J17" s="176"/>
    </row>
    <row r="18" spans="1:10" ht="20.25" customHeight="1">
      <c r="A18" s="183"/>
      <c r="B18" s="130"/>
      <c r="C18" s="101"/>
      <c r="D18" s="35"/>
      <c r="E18" s="98"/>
      <c r="F18" s="96" t="s">
        <v>153</v>
      </c>
      <c r="G18" s="101"/>
      <c r="H18" s="9"/>
      <c r="I18" s="9">
        <v>14</v>
      </c>
      <c r="J18" s="176"/>
    </row>
    <row r="19" spans="1:10" ht="20.25" customHeight="1">
      <c r="A19" s="183"/>
      <c r="B19" s="130"/>
      <c r="C19" s="101"/>
      <c r="D19" s="35"/>
      <c r="E19" s="98"/>
      <c r="F19" s="89" t="s">
        <v>154</v>
      </c>
      <c r="G19" s="101"/>
      <c r="H19" s="9"/>
      <c r="I19" s="9" t="s">
        <v>117</v>
      </c>
      <c r="J19" s="177"/>
    </row>
    <row r="20" spans="1:10" ht="33" customHeight="1">
      <c r="A20" s="178" t="s">
        <v>136</v>
      </c>
      <c r="B20" s="100" t="s">
        <v>115</v>
      </c>
      <c r="C20" s="107" t="s">
        <v>176</v>
      </c>
      <c r="D20" s="54"/>
      <c r="E20" s="8" t="s">
        <v>177</v>
      </c>
      <c r="F20" s="87" t="s">
        <v>140</v>
      </c>
      <c r="G20" s="98">
        <v>10</v>
      </c>
      <c r="H20" s="9"/>
      <c r="I20" s="9">
        <v>1</v>
      </c>
      <c r="J20" s="29" t="s">
        <v>158</v>
      </c>
    </row>
    <row r="21" spans="1:10" ht="136">
      <c r="A21" s="179"/>
      <c r="B21" s="101"/>
      <c r="C21" s="98"/>
      <c r="D21" s="54"/>
      <c r="E21" s="8" t="s">
        <v>177</v>
      </c>
      <c r="F21" s="90" t="s">
        <v>155</v>
      </c>
      <c r="G21" s="98"/>
      <c r="H21" s="9"/>
      <c r="I21" s="8" t="s">
        <v>156</v>
      </c>
      <c r="J21" s="29" t="s">
        <v>164</v>
      </c>
    </row>
    <row r="22" spans="1:10" ht="68">
      <c r="A22" s="180"/>
      <c r="B22" s="113"/>
      <c r="C22" s="98"/>
      <c r="D22" s="54"/>
      <c r="E22" s="8" t="s">
        <v>177</v>
      </c>
      <c r="F22" s="90" t="s">
        <v>171</v>
      </c>
      <c r="G22" s="98"/>
      <c r="H22" s="9"/>
      <c r="I22" s="8" t="s">
        <v>157</v>
      </c>
      <c r="J22" s="29" t="s">
        <v>164</v>
      </c>
    </row>
    <row r="23" spans="1:10" ht="20.25" customHeight="1">
      <c r="A23" s="77" t="s">
        <v>137</v>
      </c>
      <c r="B23" s="54" t="s">
        <v>64</v>
      </c>
      <c r="C23" s="9" t="s">
        <v>175</v>
      </c>
      <c r="D23" s="54"/>
      <c r="E23" s="9">
        <v>0.79</v>
      </c>
      <c r="F23" s="87" t="s">
        <v>165</v>
      </c>
      <c r="G23" s="9">
        <v>5</v>
      </c>
      <c r="H23" s="9"/>
      <c r="I23" s="9">
        <v>10</v>
      </c>
      <c r="J23" s="29" t="s">
        <v>166</v>
      </c>
    </row>
    <row r="24" spans="1:10" ht="102">
      <c r="A24" s="77" t="s">
        <v>138</v>
      </c>
      <c r="B24" s="54" t="s">
        <v>118</v>
      </c>
      <c r="C24" s="8" t="s">
        <v>185</v>
      </c>
      <c r="D24" s="54"/>
      <c r="E24" s="8" t="s">
        <v>184</v>
      </c>
      <c r="F24" s="90" t="s">
        <v>161</v>
      </c>
      <c r="G24" s="9">
        <v>10</v>
      </c>
      <c r="H24" s="9"/>
      <c r="I24" s="8" t="s">
        <v>160</v>
      </c>
      <c r="J24" s="83" t="s">
        <v>163</v>
      </c>
    </row>
    <row r="25" spans="1:10" ht="102">
      <c r="A25" s="77" t="s">
        <v>139</v>
      </c>
      <c r="B25" s="54" t="s">
        <v>134</v>
      </c>
      <c r="C25" s="8" t="s">
        <v>176</v>
      </c>
      <c r="D25" s="54"/>
      <c r="E25" s="8" t="s">
        <v>177</v>
      </c>
      <c r="F25" s="90" t="s">
        <v>161</v>
      </c>
      <c r="G25" s="9">
        <v>5</v>
      </c>
      <c r="H25" s="9"/>
      <c r="I25" s="8" t="s">
        <v>162</v>
      </c>
      <c r="J25" s="29" t="s">
        <v>164</v>
      </c>
    </row>
  </sheetData>
  <mergeCells count="24">
    <mergeCell ref="A1:I2"/>
    <mergeCell ref="F4:F5"/>
    <mergeCell ref="G4:G5"/>
    <mergeCell ref="A4:A5"/>
    <mergeCell ref="G7:G8"/>
    <mergeCell ref="B4:B5"/>
    <mergeCell ref="A8:A9"/>
    <mergeCell ref="A13:A19"/>
    <mergeCell ref="C13:C19"/>
    <mergeCell ref="B13:B19"/>
    <mergeCell ref="B20:B22"/>
    <mergeCell ref="C20:C22"/>
    <mergeCell ref="A20:A22"/>
    <mergeCell ref="G13:G19"/>
    <mergeCell ref="G20:G22"/>
    <mergeCell ref="A10:A11"/>
    <mergeCell ref="B10:B11"/>
    <mergeCell ref="C10:C11"/>
    <mergeCell ref="G10:G11"/>
    <mergeCell ref="E10:E11"/>
    <mergeCell ref="E13:E19"/>
    <mergeCell ref="J13:J19"/>
    <mergeCell ref="J10:J11"/>
    <mergeCell ref="J8:J9"/>
  </mergeCells>
  <phoneticPr fontId="2" type="noConversion"/>
  <pageMargins left="0.7" right="0.7" top="0.75" bottom="0.75" header="0.3" footer="0.3"/>
  <pageSetup paperSize="9" orientation="portrait" verticalDpi="0" r:id="rId1"/>
  <headerFooter>
    <oddFooter>&amp;C_x000D_&amp;1#&amp;"Aptos"&amp;10&amp;K000000 INTERNAL / BUSINESS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3737-F8DA-4415-958A-7309E1D626E0}">
  <dimension ref="A1"/>
  <sheetViews>
    <sheetView workbookViewId="0">
      <selection activeCell="D18" sqref="D18"/>
    </sheetView>
  </sheetViews>
  <sheetFormatPr baseColWidth="10" defaultColWidth="8.83203125" defaultRowHeight="15"/>
  <sheetData/>
  <phoneticPr fontId="2" type="noConversion"/>
  <pageMargins left="0.7" right="0.7" top="0.75" bottom="0.75" header="0.3" footer="0.3"/>
  <headerFooter>
    <oddFooter>&amp;C_x000D_&amp;1#&amp;"Aptos"&amp;10&amp;K000000 INTERNAL / BUSINESS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3E11-194B-4A3D-9017-13CE280F979E}">
  <dimension ref="A1"/>
  <sheetViews>
    <sheetView workbookViewId="0"/>
  </sheetViews>
  <sheetFormatPr baseColWidth="10" defaultColWidth="8.83203125" defaultRowHeight="15"/>
  <sheetData/>
  <phoneticPr fontId="2" type="noConversion"/>
  <pageMargins left="0.7" right="0.7" top="0.75" bottom="0.75" header="0.3" footer="0.3"/>
  <headerFooter>
    <oddFooter>&amp;C_x000D_&amp;1#&amp;"Aptos"&amp;10&amp;K000000 INTERNAL / BUSINESS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7AFBF-3844-49E2-9FE7-B83868D6EA0E}">
  <dimension ref="A1"/>
  <sheetViews>
    <sheetView workbookViewId="0">
      <selection activeCell="E21" sqref="E21"/>
    </sheetView>
  </sheetViews>
  <sheetFormatPr baseColWidth="10" defaultColWidth="8.83203125" defaultRowHeight="15"/>
  <sheetData/>
  <phoneticPr fontId="2" type="noConversion"/>
  <pageMargins left="0.7" right="0.7" top="0.75" bottom="0.75" header="0.3" footer="0.3"/>
  <headerFooter>
    <oddFooter>&amp;C_x000D_&amp;1#&amp;"Aptos"&amp;10&amp;K000000 INTERNAL / BUSINESS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CDAA8-BA4C-45EF-954B-B334C32BC596}">
  <dimension ref="A1"/>
  <sheetViews>
    <sheetView workbookViewId="0">
      <selection activeCell="G17" sqref="G17"/>
    </sheetView>
  </sheetViews>
  <sheetFormatPr baseColWidth="10" defaultColWidth="8.83203125" defaultRowHeight="15"/>
  <sheetData/>
  <phoneticPr fontId="2" type="noConversion"/>
  <pageMargins left="0.7" right="0.7" top="0.75" bottom="0.75" header="0.3" footer="0.3"/>
  <headerFooter>
    <oddFooter>&amp;C_x000D_&amp;1#&amp;"Aptos"&amp;10&amp;K000000 INTERNAL / BUSINESS</oddFooter>
  </headerFooter>
</worksheet>
</file>

<file path=docMetadata/LabelInfo.xml><?xml version="1.0" encoding="utf-8"?>
<clbl:labelList xmlns:clbl="http://schemas.microsoft.com/office/2020/mipLabelMetadata">
  <clbl:label id="{4a7c7427-fc30-445b-85ac-c6000ccc57be}" enabled="1" method="Standard" siteId="{87101f8d-63f2-4967-a646-379f08b73ca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TM&amp;ICE&amp;BESS</vt:lpstr>
      <vt:lpstr>空悬ASUS</vt:lpstr>
      <vt:lpstr>SCR 2</vt:lpstr>
      <vt:lpstr>SCR 3</vt:lpstr>
      <vt:lpstr>SCR EPDM</vt:lpstr>
      <vt:lpstr>主悬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Han, Jie</dc:creator>
  <cp:lastModifiedBy>智能 珏盛</cp:lastModifiedBy>
  <dcterms:created xsi:type="dcterms:W3CDTF">2015-06-05T18:17:20Z</dcterms:created>
  <dcterms:modified xsi:type="dcterms:W3CDTF">2026-03-06T11:34:22Z</dcterms:modified>
</cp:coreProperties>
</file>